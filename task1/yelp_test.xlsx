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0" yWindow="140" windowWidth="19140" windowHeight="7090"/>
  </bookViews>
  <sheets>
    <sheet name="yelp_test" sheetId="1" r:id="rId1"/>
  </sheets>
  <calcPr calcId="0"/>
</workbook>
</file>

<file path=xl/calcChain.xml><?xml version="1.0" encoding="utf-8"?>
<calcChain xmlns="http://schemas.openxmlformats.org/spreadsheetml/2006/main">
  <c r="A7" i="1" l="1"/>
  <c r="G12" i="1"/>
  <c r="C34" i="1"/>
  <c r="A40" i="1"/>
  <c r="G69" i="1"/>
  <c r="C71" i="1"/>
  <c r="G130" i="1"/>
  <c r="C153" i="1"/>
  <c r="G198" i="1"/>
  <c r="C241" i="1"/>
  <c r="C245" i="1"/>
  <c r="C248" i="1"/>
  <c r="A295" i="1"/>
</calcChain>
</file>

<file path=xl/sharedStrings.xml><?xml version="1.0" encoding="utf-8"?>
<sst xmlns="http://schemas.openxmlformats.org/spreadsheetml/2006/main" count="1492" uniqueCount="1152">
  <si>
    <t>business_id</t>
  </si>
  <si>
    <t>date</t>
  </si>
  <si>
    <t>review_id</t>
  </si>
  <si>
    <t>stars</t>
  </si>
  <si>
    <t>text</t>
  </si>
  <si>
    <t>type</t>
  </si>
  <si>
    <t>user_id</t>
  </si>
  <si>
    <t>cool</t>
  </si>
  <si>
    <t>useful</t>
  </si>
  <si>
    <t>funny</t>
  </si>
  <si>
    <t>9yKzy9PApeiPPOUJEtnvkg</t>
  </si>
  <si>
    <t>fWKvX83p0-ka4JS3dc6E5A</t>
  </si>
  <si>
    <t>My wife took me here on my birthday for breakfast and it was excellent.  The weather was perfect which made sitting outside overlooking their grounds an absolute pleasure.  Our waitress was excellent and our food arrived quickly on the semi-busy Saturday morning.  It looked like the place fills up pretty quickly so the earlier you get here the better.
Do yourself a favor and get their Bloody Mary.  It was phenomenal and simply the best I've ever had.  I'm pretty sure they only use ingredients from their garden and blend them fresh when you order it.  It was amazing.
While EVERYTHING on the menu looks excellent, I had the white truffle scrambled eggs vegetable skillet and it was tasty and delicious.  It came with 2 pieces of their griddled bread with was amazing and it absolutely made the meal complete.  It was the best "toast" I've ever had.
Anyway, I can't wait to go back!</t>
  </si>
  <si>
    <t>review</t>
  </si>
  <si>
    <t>rLtl8ZkDX5vH5nAx9C3q5Q</t>
  </si>
  <si>
    <t>ZRJwVLyzEJq1VAihDhYiow</t>
  </si>
  <si>
    <t>IjZ33sJrzXqU-0X6U8NwyA</t>
  </si>
  <si>
    <t>I have no idea why some people give bad reviews about this place. It goes to show you, you can please everyone. They are probably griping about something that their own fault...there are many people like that.
In any case, my friend and I arrived at about 5:50 PM this past Sunday. It was pretty crowded, more than I thought for a Sunday evening and thought we would have to wait forever to get a seat but they said we'll be seated when the girl comes back from seating someone else. We were seated at 5:52 and the waiter came and got our drink orders. Everyone was very pleasant from the host that seated us to the waiter to the server. The prices were very good as well. We placed our orders once we decided what we wanted at 6:02. We shared the baked spaghetti calzone and the small "Here's The Beef" pizza so we can both try them. The calzone was huge and we got the smallest one (personal) and got the small 11" pizza. Both were awesome! My friend liked the pizza better and I liked the calzone better. The calzone does have a sweetish sauce but that's how I like my sauce!
We had to box part of the pizza to take it home and we were out the door by 6:42. So, everything was great and not like these bad reviewers. That goes to show you that  you have to try these things yourself because all these bad reviewers have some serious issues.</t>
  </si>
  <si>
    <t>0a2KyEL0d3Yb1V6aivbIuQ</t>
  </si>
  <si>
    <t>6oRAC4uyJCsJl1X0WZpVSA</t>
  </si>
  <si>
    <t>IESLBzqUCLdSzSqm0eCSxQ</t>
  </si>
  <si>
    <t>love the gyro plate. Rice is so good and I also dig their candy selection :)</t>
  </si>
  <si>
    <t>0hT2KtfLiobPvh6cDC8JQg</t>
  </si>
  <si>
    <t>_1QQZuf4zZOyFCvXc0o6Vg</t>
  </si>
  <si>
    <t>G-WvGaISbqqaMHlNnByodA</t>
  </si>
  <si>
    <t>Rosie, Dakota, and I LOVE Chaparral Dog Park!!! It's very convenient and surrounded by a lot of paths, a desert xeriscape, baseball fields, ballparks, and a lake with ducks.
The Scottsdale Park and Rec Dept. does a wonderful job of keeping the park clean and shaded.  You can find trash cans and poopy-pick up mitts located all over the park and paths.
The fenced in area is huge to let the dogs run, play, and sniff!</t>
  </si>
  <si>
    <t>uZetl9T0NcROGOyFfughhg</t>
  </si>
  <si>
    <t>6ozycU1RpktNG2-1BroVtw</t>
  </si>
  <si>
    <t>1uJFq2r5QfJG_6ExMRCaGw</t>
  </si>
  <si>
    <t>General Manager Scott Petello is a good egg!!! Not to go into detail, but let me assure you if you have any issues (albeit rare) speak with Scott and treat the guy with some respect as you state your case and I'd be surprised if you don't walk out totally satisfied as I just did. Like I always say..... "Mistakes are inevitable, it's how we recover from them that is important"!!!
Thanks to Scott and his awesome staff. You've got a customer for life!! .......... :^)</t>
  </si>
  <si>
    <t>vYmM4KTsC8ZfQBg-j5MWkw</t>
  </si>
  <si>
    <t>m2CKSsepBCoRYWxiRUsxAg</t>
  </si>
  <si>
    <t>Quiessence is, simply put, beautiful.  Full windows and earthy wooden walls give a feeling of warmth inside this restaurant perched in the middle of a farm.  The restaurant seemed fairly full even on a Tuesday evening; we had secured reservations just a couple days before.
My friend and I had sampled sandwiches at the Farm Kitchen earlier that week, and were impressed enough to want to eat at the restaurant.  The crisp, fresh veggies didn't disappoint: we ordered the salad with orange and grapefruit slices and the crudites to start.  Both were very good; I didn't even know how much I liked raw radishes and turnips until I tried them with their pesto and aioli sauces.
For entrees, I ordered the lamb and my friend ordered the pork shoulder.  Service started out very good, but trailed off quickly.  Waiting for our food took a very long time (a couple seated after us received and finished their entrees before we received our's), and no one bothered to explain the situation until the maitre'd apologized almost 45 minutes later.  Apparently the chef was unhappy with the sauce on my entree, so he started anew.  This isn't really a problem, but they should have communicated this to us earlier.  For our troubles, they comped me the glass of wine I ordered, but they forgot to bring out with my entree  as I had requested.  Also, they didn't offer us bread, but I will echo the lady who whispered this to us on her way out: ask for the bread.  We received warm foccacia, apple walnut, and pomegranate slices of wonder with honey and butter.  YUM.
The entrees were both solid, but didn't quite live up to the innovation and freshness of the vegetables.  My lamb's sauce was delicious, but the meat was tough.  Maybe the vegetarian entrees are the way to go?  But our dessert, the gingerbread pear cake, was yet another winner.
If the entrees were tad more inspired, or the service weren't so spotty, this place definitely would have warranted five stars.  If I return, I'd like to try the 75$ tasting menu.  Our bill came out to about 100$ for two people, including tip, no drinks.</t>
  </si>
  <si>
    <t>sqYN3lNgvPbPCTRsMFu27g</t>
  </si>
  <si>
    <t>zp713qNhx8d9KCJJnrw1xA</t>
  </si>
  <si>
    <t>riFQ3vxNpP4rWLk_CSri2A</t>
  </si>
  <si>
    <t>Drop what you're doing and drive here. After I ate here I had to go back the next day for more.  The food is that good.
This cute little green building may have gone competely unoticed if I hadn't been driving down Palm Rd to avoid construction.  While waiting to turn onto 16th Street the "Grand Opening" sign caught my eye and my little yelping soul leaped for joy!  A new place to try!
It looked desolate from the outside but when I opened the door I was put at easy by the decor, smell and cleanliness inside.  I ordered dinner for two, to go.  The menu was awesome.  I loved seeing all the variety: poblano peppers, mole, mahi mahi, mushrooms...something wrapped in banana leaves.  It made it difficult to choose something.  Here's what I've had so far: La Condesa Shrimp Burro and Baja Sur Dogfish Shark Taco.  They are both were very delicious meals but the shrimp burro stole the show.  So much flavor.  I snagged some bites from my hubbys mole and mahi mahi burros- mmmm such a delight.  The salsa bar is endless.  I really stocked up.  I was excited to try the strawberry salsa but it was too hot, in fact it all was, but I'm a big wimp when it comes to hot peppers. The horchata is handmade and delicious.  They throw pecans and some fruit in there too which is a yummy bonus!
As if the good food wasn't enough to win me over the art in this restaurant sho did!  I'm a sucker for Mexican folk art and Frida Kahlo is my Oprah.  There's a painting of her and Diego hanging over the salsa bar, it's amazing.  All the paintings are great, love the artist.</t>
  </si>
  <si>
    <t>wFweIWhv2fREZV_dYkz_1g</t>
  </si>
  <si>
    <t>hW0Ne_HTHEAgGF1rAdmR-g</t>
  </si>
  <si>
    <t>JL7GXJ9u4YMx7Rzs05NfiQ</t>
  </si>
  <si>
    <t>Luckily, I didn't have to travel far to make my connecting flight. And for this, I thank you, Phoenix.
My brief layover was pleasant as the employees were kind and the flight was on time.  Hopefully, next time I can grace Phoenix with my presence for a little while longer.</t>
  </si>
  <si>
    <t>1ieuYcKS7zeAv_U15AB13A</t>
  </si>
  <si>
    <t>wNUea3IXZWD63bbOQaOH-g</t>
  </si>
  <si>
    <t>XtnfnYmnJYi71yIuGsXIUA</t>
  </si>
  <si>
    <t>Definitely come for Happy hour! Prices are amazing, sake bombers for $3...Great atmosphere and wait staff was incredibly nice and right on to all of our needs, didn't have to ask for a thing They were always spot on...Place gets crowded in the evening especially if you plan on sitting outside. I only wish there were one in Apollo Beach or Brandon!</t>
  </si>
  <si>
    <t>Vh_DlizgGhSqQh4qfZ2h6A</t>
  </si>
  <si>
    <t>nMHhuYan8e3cONo3PornJA</t>
  </si>
  <si>
    <t>jJAIXA46pU1swYyRCdfXtQ</t>
  </si>
  <si>
    <t>Nobuo shows his unique talents with everything on the menu. Carefully crafted features with much to drink. Start with the pork belly buns and a stout. Then go on until you can no longer.</t>
  </si>
  <si>
    <t>sUNkXg8-KFtCMQDV6zRzQg</t>
  </si>
  <si>
    <t>AsSCv0q_BWqIe3mX2JqsOQ</t>
  </si>
  <si>
    <t>E11jzpKz9Kw5K7fuARWfRw</t>
  </si>
  <si>
    <t>The oldish man who owns the store is as sweet as can be.  Perhaps sweeter than the cookies or ice cream.
Here's the lowdown: Giant ice cream cookie sandwiches for super cheap.  The flavor permutations are basically endless.  I had snickerdoodle with cookies and cream ice cream.  It was marvelous.</t>
  </si>
  <si>
    <t>e9nN4XxjdHj4qtKCOPq_vg</t>
  </si>
  <si>
    <t>3rPt0LxF7rgmEUrznoH22w</t>
  </si>
  <si>
    <t>Wonderful Vietnamese sandwich shoppe. Their baguettes are great hot out of the oven with butter or in one of their many sandwich choices. They have a modest selection of baked goods along with some of the best egg rolls around. Bring cash or your ATM card as no credit cards are accepted but they have an ATM on premises.</t>
  </si>
  <si>
    <t>C1rHp3dmepNea7XiouwB6Q</t>
  </si>
  <si>
    <t>h53YuCiIDfEFSJCQpk8v1g</t>
  </si>
  <si>
    <t>cGnKNX3I9rthE0-TH24-qA</t>
  </si>
  <si>
    <t>They have a limited time thing going on right now with BBQ chicken pizza (not sure how long it's going to last) but let me just say it was amazing.  Probably THE best BBQ Chicken pizza I have ever had.  I have tried other things too, like the tomato basil soup, and many of their sandwiches ... very good, very fresh - every time.  
The 5 stars is for the pizza, but if I were to rate Jason's Deli over all they would get about a 4.</t>
  </si>
  <si>
    <t>UPtysDF6cUDUxq2KY-6Dcg</t>
  </si>
  <si>
    <t>WGNIYMeXPyoWav1APUq7jA</t>
  </si>
  <si>
    <t>FvEEw1_OsrYdvwLV5Hrliw</t>
  </si>
  <si>
    <t>Good tattoo shop. Clean space, multiple artists to choose from and books of their work are available for you to look though and decide who's style most mirrors what you're looking for. I chose Jet to do a cover-up for me and he worked with me on the design and our ideas and communication flowed very well. He's a very personable guy, is friendly and keeps the conversation going while he's working on you, and he doesn't dick around (read: He starts to work and continues until the job is done). He's very professional and informative. Good customer service combines with talent at the craft.</t>
  </si>
  <si>
    <t>Xm8HXE1JHqscXe5BKf0GFQ</t>
  </si>
  <si>
    <t>yc5AH9H71xJidA_J2mChLA</t>
  </si>
  <si>
    <t>pfUwBKYYmUXeiwrhDluQcw</t>
  </si>
  <si>
    <t>I'm 2 weeks new to Phoenix. I looked up Irish bars in town and found Rosie's. The decor and ambience was outstanding. I went there by myself on a Wednesday night in hopes of finding some friendly folks and that is exactly what happened. I ate dinner at the bar. Marcy was the bartender and she was very friendly and helpful and she introduced me to a whole bunch of people. For dinner I had a Rueben sandwich, which was pretty large and very good. I had a a small Rosie salad as my side and it did the job. I wish it was made with lettuce other than iceburg, but the bacon &amp; eggs &amp; other toppings helped a whole lot. I drank a nice, cold Smithwick's from the tap. Followed that up with 2 vodka tonics and my whole tab was under $25! 
The basketball game was on when I first got there. After the game, the jukebox was playing a fabulous mix of the best oldies. Around 10pm a live band played. I didn't catch much of their performance but I did notice that I really like the singer's voice and that's rare for me since I don't typically care for female vocalists.
All the people I spoke to were super nice and very welcoming. I am sure I will see a bunch (or all) of them again and I look forward to that!</t>
  </si>
  <si>
    <t>JOG-4G4e8ae3lx_szHtR8g</t>
  </si>
  <si>
    <t>Vb9FPCEL6Ly24PNxLBaAFw</t>
  </si>
  <si>
    <t>HvqmdqWcerVWO3Gs6zbrOw</t>
  </si>
  <si>
    <t>Was it worth the 21$ for a salad and small pizza? Absolutely not! Bad service. Maybe the guys grandma died I don't know. I want to tell you what really made me mad about the experience. We order the small pizza and salad and the guys could have cared less and took our $ and we sat down. We were looking around and hmm, there's a sign saying "x large pizza and large salad only 23$". Wow that would have been nice if the guy told us that. I left hungry, mad and unsatisfied. 
To the owner: teach your employees the value of upselling and telling the specials. Something so small can affect a customers experience negatively. 
And your salads are severely overpriced 
Won't go back unless I'm desperate.</t>
  </si>
  <si>
    <t>ylWOj2y7TV2e3yYeWhu2QA</t>
  </si>
  <si>
    <t>supigcPNO9IKo6olaTNV-g</t>
  </si>
  <si>
    <t>HXP_0Ul-FCmA4f-k9CqvaQ</t>
  </si>
  <si>
    <t>We went here on a Saturday afternoon and this place was incredibly empty.  They had brunch specials going on, including $2 bloody mary's and mimosas, but we were more in the mood for lunch.  Except for the bloody mary, I had to try one.  It came out in a high-ball-sized glass.  Boo!  But it was really tasty. Yay!  The hubby remembered a sign outside the restaurant a few weeks back that said they had Arrogant Bastard, and he got a 22 oz bottle for $4.75.  Hey, that's not fair!!
Next up: the wings.  We were a bit hesitant to order them when the waitress informed us that they are "seasoned" but not sauced, so they can't be ordered hot.  We did ask for them crispy though, and the waitress even asked the cooks to throw them back in for a few minutes when they came out not visibly crispy.  These non-traditional wings were actually pretty damn good.  The seasoning was a little spicy and salty with just a hint of sweet.  If I were in the mood for the tang and kick of Frank's Hot Sauce, these wouldn't cut it, but otherwise they were good enough to go back again for.
My entree was the Tilapia salad, and I was a bit disappointed.  The fish was a bit dry and uninspired. And the greens underneath were overdressed and wilted.  I ate the greens around the fish and picked out the almonds and Mandarin oranges, but I had to leave the mush hiding underneath the fish.
It wasn't bad enough to say I wouldn't go back, but I won't be anxiously awaiting my next trip.</t>
  </si>
  <si>
    <t>SBbftLzfYYKItOMFwOTIJg</t>
  </si>
  <si>
    <t>O510Re68mOy9dU490JTKCg</t>
  </si>
  <si>
    <t>j4SIzrIy0WrmW4yr4--Khg</t>
  </si>
  <si>
    <t>okay this is the best place EVER! i grew up shopping at the one in los gatos, and the one in Oakville. i was shock when i saw the best store in the world in Scottsdale and then not surprised at all. the have all the good stuff. from cheese down to wine. i can't tell you how happy i am that this store is here in Arizona. now if we could just get dean and deluca!</t>
  </si>
  <si>
    <t>u1KWcbPMvXFEEYkZZ0Yktg</t>
  </si>
  <si>
    <t>b5cEoKR8iQliq-yT2_O0LQ</t>
  </si>
  <si>
    <t>v0cTd3PNpYCkTyGKSpOfGA</t>
  </si>
  <si>
    <t>I met a friend for lunch yesterday. 
Loved the water feature and patio walking in, if it had been warmer I would have definitely sat outside. 
Inside was a little dark and I guess it was all the bats around but it reminded me of "Dusk Till Dawn". 
We were seated, I hope was hoping for chips and salsa, I guess they don't serve them here? 
We weren't even offered the ones on the menu, which I probably would have declined anyway because chips and salsa should be complimentary. 
Anyhow I ordered the Fresh Snapper Tacos (see pics) 
There is a lot of fish there being smothered by all those peppers, but as for everything else what you see is what you get.
For $15 I would have liked more than a TBSP of each, rice and beans, and a DEFINITELY more than a teaspoon of cheese and sour cream and maybe a lime or lemon. 
There was more garnish on the plate than anything. Other than that it was good. 
My Friend ordered the Green Chile Stew and The Green Chile Mac and Cheese (see pics) She has been here before so knew what she liked. I tasted the macaroni and thought it was pretty good too.
I'll give 3 stars until I go back and try out some other things.</t>
  </si>
  <si>
    <t>UsULgP4bKA8RMzs8dQzcsA</t>
  </si>
  <si>
    <t>4JzzbSbK9wmlOBJZWYfuCg</t>
  </si>
  <si>
    <t>a0lCu-j2Sk_kHQsZi_eNgw</t>
  </si>
  <si>
    <t>They've gotten better and better for me in the time since this review was written. 
My last contact with them was a few days ago when I was having trouble redeeming some Groupons on their website. I called customer service and after waiting a few minutes I spoke with a rep who cheerfully booked four separate flights for me, patiently and manually entering my Groupon info for each one.
I think the acquisition by Republic has helped them overall. After Republic took over the in-flight cookies started. It still tends to suck if you aren't Ascent club (like just about any budget-centric airline does), but once you get there it's a good value. When I've had to fly Southwest or USAir I've been disappointed in comparison.</t>
  </si>
  <si>
    <t>nDBly08j5URmrHQ2JCbyiw</t>
  </si>
  <si>
    <t>8FNO4D3eozpIjj0k3q5Zbg</t>
  </si>
  <si>
    <t>MuqugTuR5DdIPcZ2IVP3aQ</t>
  </si>
  <si>
    <t>DVAP....
You have to go at least once in your life. It really is a neat place with alot of history. 
The service is great, it appears to be family run. 
The food is good. Better then Dennys but not as good as Mimi's. 
I had the all u can eat of beef ribs, lasagna, meat loaf, cat fish, chicken, mashed and diced potatoes, stuffing, rice, homemade apple pie, etc and salad bar. I know I am missing a bunch of stuff they had but you get the drift. 
They run specials on Prime rib and stuff so you might want to call to see what they are serving the night you go.</t>
  </si>
  <si>
    <t>C6IOtaaYdLIT5fWd7ZYIuA</t>
  </si>
  <si>
    <t>tdcjXyFLMKAsvRhURNOkCg</t>
  </si>
  <si>
    <t>LmuKVFh03Uz318VKnUWrxA</t>
  </si>
  <si>
    <t>This place shouldn't even be reviewed - because it is the kind of place I want to keep for myself...  =)</t>
  </si>
  <si>
    <t>YN3ZLOdg8kpnfbVcIhuEZA</t>
  </si>
  <si>
    <t>eFA9dqXT5EA_TrMgbo03QQ</t>
  </si>
  <si>
    <t>CQYc8hgKxV4enApDkx0IhA</t>
  </si>
  <si>
    <t>first time my friend and I went there... it was delicious!  The food, garlic knots our favorite and of course the wine!  We will be going back ALOT!</t>
  </si>
  <si>
    <t>6lg55RIP23VhjYEBXJ8Njw</t>
  </si>
  <si>
    <t>IJ0o6b8bJFAbG6MjGfBebQ</t>
  </si>
  <si>
    <t>Dx9sfFU6Zn0GYOckijom-g</t>
  </si>
  <si>
    <t>U can go there n check the car out. If u wanna buy 1 there? That's wrong move! If u even want a car service from there? U made a biggest mistake of ur life!! I had 1 time asked my girlfriend to take my car there for an oil service, guess what? They ripped my girlfriend off by lying how bad my car is now. If without fixing the problem. Might bring some serious accident. Then she did what they said. 4 brand new tires, timing belt, 4 new brake pads. U know why's the worst? All of those above I had just changed 2 months before!!! What a trashy dealer is that? People, better off go somewhere!</t>
  </si>
  <si>
    <t>zRlQEDYd_HKp0VS3hnAffA</t>
  </si>
  <si>
    <t>JhupPnWfNlMJivnWB5druA</t>
  </si>
  <si>
    <t>cFtQnKzn2VDpBedy_TxlvA</t>
  </si>
  <si>
    <t>I love this place! I have been coming here for ages.
My favorites: Elsa's Chicken sandwich, any of their burgers, dragon chicken wings, china's little chicken sandwich, and the hot pepper chicken sandwich. The atmosphere is always fun and the art they display is very abstract but totally cool!</t>
  </si>
  <si>
    <t>13xj6FSvYO0rZVRv5XZp4w</t>
  </si>
  <si>
    <t>wzP2yNpV5p04nh0injjymA</t>
  </si>
  <si>
    <t>ChBeixVZerfFkeO0McdlbA</t>
  </si>
  <si>
    <t>This place is great.  A nice little ole' fashion homemade ice cream place that looks like it has been there for forever.  The place has a real nice vibe to it.  Sorta reminds me of Sugar Bowl only smaller, not as busy, and easier parking.
The menu is ginormous.  I couldn't decide what to get but that didn't matter because the other 3 people I went with chose for me.  I wanted something basic but they insisted on sharing the 'patte' thing.  It is a few scoops of ice cream over a brownie and topped with whip cream and caramel.  While it was very good it just wasn't what I wanted.  Next time I'm just going to get a scoop or 2 of the ice cream so I can really taste what the ice cream is all about.  It is just too difficult to tell when it is topped with a bunch of stuff.  The ice cream we got on the brownie though (butter brittle I think) was excellent.  They have tons of different flavors and they all sound delish!
Anyway I can't wait to go back if I am ever in the area again and need a sugar rush!</t>
  </si>
  <si>
    <t>qjmCVYkwP-HDa35jwYucbQ</t>
  </si>
  <si>
    <t>kZ4TzrVX6qeF0OvrVTGVEw</t>
  </si>
  <si>
    <t>I love love LOVE this place. My boss (who is into healthy eating) recommended this place. I went over with some highly skeptical friends and one dinner was enough to convert them into believers! The food here is so good! We had the Shrimp dumplings and the Onion tart as starters. We ordered the Shirataki noodles and street tacos as entrees. So also ordered the Kale-aid. All of the dishes were yummy. 
I have gone back many times since then and have never been disappointed! I have gone after yoga to get some Kale salad or the chicken chopped salad. I always have to get the Kale aid. 
Once, a guy at the next table, uprooted a whole plant by mistake (on the patio) and was highly embarrassed as was his date! Ever since, I have very careful not to throw my arms around as I can be quite clumsy sometimes! I do NOT want to be banned from my favorite place for my clumsiness! I don't think I can live without True Food!</t>
  </si>
  <si>
    <t>fpItLlgimq0nRltWOkuJJw</t>
  </si>
  <si>
    <t>wct7rZKyZqZftzmAU-vhWQ</t>
  </si>
  <si>
    <t>B5h25WK28rJjx4KHm4gr7g</t>
  </si>
  <si>
    <t>Not that my review will mean much given the more in-depth reviewers but I will chime in nonetheless...
I can really only review one dish, the #3 lunch special, Yellow Curry Chicken. I don't know what the authentic name for it is, Kang Karee something or other. It's so tasty that the first time I had it I knew I'd never branch out. Good lunch spot if you work around downtown. Not the quickest service all the time and can get busy during lunch, but always consistently good. Fairly dim inside, a good place to forget about the sun on a summer day.</t>
  </si>
  <si>
    <t>RRTraCQw77EU4yZh0BBTag</t>
  </si>
  <si>
    <t>vz2zQQSjy-NnnKLZzjjoxA</t>
  </si>
  <si>
    <t>Y_ERKao0J5WsRiCtlKSNSA</t>
  </si>
  <si>
    <t>Came here for breakfast yesterday, it had been years since I have stopped in here and do not remember the entire place having waiter service.  Place was empty at 9am on a Tuesday morning but the atmosphere was casual, this place is pretty much been here for as long as I can remember and I am one of the 2 people that are native to Phoenix.  I always felt it was pricey but I think inflation has caught up since prices seemed normal when I went yesterday.  I loved the chips and salsa, the hot sauce is fantastic with a great spicy kick.  I went with the recommendation of the chile relleno which isn't my favorite but I like going with what waiters say so I gave it a try.  It was great!  Very flavorful and they just put it on the eggs so you can eat it together, the tortillas are fresh and home-made tasting, the hash browns and beans were good too.  I read my newspaper and drank my soda while I enjoyed the whole place to myself....oh yeah, I read some Yelp reviews and bookmarked my next stop too, ha ha.</t>
  </si>
  <si>
    <t>EP3cGJvYiuOwumerwADplg</t>
  </si>
  <si>
    <t>i213sY5rhkfCO8cD-FPr1A</t>
  </si>
  <si>
    <t>hre97jjSwon4bn1muHKOJg</t>
  </si>
  <si>
    <t>Always reliably good.  Great beer selection as well as fabulous "bitch fizz" (ciders, etc.) and cocktails.  Their pizza is outstanding AND they have a healthy menu.  I generally steer clear of chains but this is an exception.</t>
  </si>
  <si>
    <t>kpbhy1zPewGDmdNfNqQp-g</t>
  </si>
  <si>
    <t>V1nEpIRmEa1768oj_tuxeQ</t>
  </si>
  <si>
    <t>dtpJXC5p_sdWDLSobluJ3Q</t>
  </si>
  <si>
    <t>Disclaimer: Like many of you, I am a sucker for charming little homes that have been re-purposed into restaurants. I am certain that this colored my opinion of Cibo.
That being said, I absolutely love having lunch here the other day. I unknowingly arrived at 2:05 (5 minutes after they close between lunch and dinner) but was served anyway. I had the salscicia sandwich and a side of fruit. The sandwich was excellent, served on perfectly crisp, chewy saltimbocca bread. The sausage was flavorful and was complimented by roasted red peppers and onions. All this was finished off with a great quality mozzarella cheese. Really, really delicious.
I should also say that the atmosphere here was friendly and  comfortable, though a bit small. This would be a great place to hang out if you lived nearby.</t>
  </si>
  <si>
    <t>bCKjygWJZOQHCOzootbvow</t>
  </si>
  <si>
    <t>vvA3fbps4F9nGlAEYKk_sA</t>
  </si>
  <si>
    <t>S9OVpXat8k5YwWCn6FAgXg</t>
  </si>
  <si>
    <t>Disgusting!  Had a Groupon so my daughter and I tried it out.  Very outdated and gaudy 80's style interior made me feel like I was in an episode of Sopranos.  The food itself was pretty bad.  We ordered pretty simple dishes but they just had no flavor at all!  After trying it out I'm positive all the good reviews on here are employees or owners creating them.</t>
  </si>
  <si>
    <t>8AMn6644NmBf96xGO3w6OA</t>
  </si>
  <si>
    <t>rxQ2PIjhAx6dgAqUalf99Q</t>
  </si>
  <si>
    <t>Never having dealt with a Discount Tire in Phoenix before (only in Texas, and their service has been great all the time), I came in not knowing what kind of service to expect. I was pleasantly surprised! The store had a good amount of parking, and the store front was clean, open and had adequate seating around the perimeters. There were already 5-6 people sitting and waiting for their cars to be finished, and 2 people waiting infront of me to see a representative. All the guys working there were busy helping someone, yet were saying hello to us and reassuring they'd get to us very soon. I didn't wait an unneccesary amount of time and then was helped by Wally. He inspected my tires, recommended a plan of action gave me options, and we headed back into the store. After I made my decision to replace 2 of the tires, he checked their stock, and unfortunately they didn't have them there. BUT he called another store and had them picked up for the next morning, so I could just come back the next day to this same store and get those bad boys installed. Great! The prices were not as heafty (relief), and although there were a good amount of people the next day waiting for their cars to also be serviced, it took exactly the amount of time they'd told me (45 min). They apologized for the wait, but no need for that! The guy who helped me on the 2nd day (I'm sorry I forgot his name) was also very professional and great. I recommend this store and will be bringing my car here in the future most definitely. Thanks, guys!
TIP: If you know you need to bring your car in, you can make an appointment with them online. They take walk-ins, but I believe it helps them manage their customers easier, and that in turn benefits you.</t>
  </si>
  <si>
    <t>HLbhD2OyiMCUDRR4c1iXaw</t>
  </si>
  <si>
    <t>2VTwjhOX3UUvgOGbxe4xfA</t>
  </si>
  <si>
    <t>I went here again when I got back to Phoenix after being gone for six months. This is one of my mom's favorite places to eat and I can understand why. The ravioli and the miso soup are so delicious! The wine was ok and I would recommend one of their elixirs over an alcohol beverage. Still a pretty delicious place to go in Phoenix.</t>
  </si>
  <si>
    <t>3iuZFgxUFKLxOplkDrFmyg</t>
  </si>
  <si>
    <t>3oLy0rlzRI_xiqfQHqC4_g</t>
  </si>
  <si>
    <t>Bk7F8IyBuOHVp6w3BAKVow</t>
  </si>
  <si>
    <t>There's two ways to look at this place. One is getting quality food at a good price. The other is getting a lot of food for a cheap price. I prefer the former but those who prefer the latter won't agree with my review.
I thought the scramble I had was okay but nothing fantastic. I definitely didn't care for the biscuits. The food wasn't health conscious at all but if you're looking to fill up with calories and get a good-sized portion then this is your type of place. Also, I am not a fan of the diner-type ambiance... I would rather have something with more character but I'm glad I tried this place out.</t>
  </si>
  <si>
    <t>1guJDgUfTiDdbgKqBhsZFQ</t>
  </si>
  <si>
    <t>o1GIYYZJjM6nM03fQs_uEQ</t>
  </si>
  <si>
    <t>ApKbwpYJdnhhgP4NbjQw2Q</t>
  </si>
  <si>
    <t>I've eaten here many times, but none as bad as last night.
Service was excellent, and highly attentive.
Food, absolutely horrible.
My expectation was they would serve a steak on par with their seafood. After all, they were charging 39 bucks for a ribeye. 
What I was hoping for was a 1- 1-1/2' thick steak, cooked Pittsburgh style as I had ordered. 
What I got a a 3/4 in thick piece of meat that was mostly fat, gristle, and in no way resembled Pittsburgh Style. 
Salad, similar to something you could get at Chick Filet
Veggies, blah.
Bread basket, ample, but day old, and if not, it certainly wasn't fresh. 
In addition to bad food, we were crammed into a small room where we were nuts to butts with 6 other tables, listening to conversations ranging from someone's recent bout with pinkeye, and another couple who elected to speak entirely in French, until the waiter showed up, then it was like they turned off the French switch and suddenly began speaking English. 
I've had it with this place.
If I'm going to pay 150 bucks for dinner, it'll be at Mortons, or Maestro where the steaks are 1-1/2 in thick, cooked to perfection, and half of it doesnt wind up on the plate as fat and gristle</t>
  </si>
  <si>
    <t>iwUN95LIaEr75TZE_JC6bg</t>
  </si>
  <si>
    <t>Pr9rQKypHgC_J1AfufxzIw</t>
  </si>
  <si>
    <t>vUuFuf4LYxfqbZH3lYxJfw</t>
  </si>
  <si>
    <t>They must have renovated this place in the last year. It is now spacious and airy and there is no longer the dreaded "hover over a table to get a seat" necessity.  It now reminds me much more of the dreaded "Panera Bread" chain in California, but the food is still much better and has much less of a "mass produced" feeling and taste.
The service (management, staff etc) were extremely attentive and responsive to requests as well as keeping the place extremely well clean and cleared.
I love carbs...Carbs with carbs and a side of carbs.  They serve warm syrup with their pancakes (yum!) and their bread is just amazing.  
The "side of pancakes" is plenty big for a meal and they are always consistent, fluffy, and tasty.  
They offer both a dark roast and a house roast for coffee and all the powdery loveliness (cinnamon, nutmeg, cocoa) to top it off just right.
Today, before returning to the land of freeways and smog and eternal sunshine(well, the other land of that anyway) we enjoyed their peppermint hot chocolate. I would highly recommend that you run on it and have this frothy goodness before the holiday season ends!</t>
  </si>
  <si>
    <t>iFa0SLpNeLbx6aux65mNbQ</t>
  </si>
  <si>
    <t>AGar9KVq_W7YcF76avbDTw</t>
  </si>
  <si>
    <t>gNm48xplqt42p-NvCkzUBg</t>
  </si>
  <si>
    <t>Very clean and well thought out floor plans, nice to have a friendly staff with smiling faces. Best Target I have been to in a while.</t>
  </si>
  <si>
    <t>370JyOQfFcPSB9_jk641gA</t>
  </si>
  <si>
    <t>5V9lfjjlY7tkXgkcDUWYyg</t>
  </si>
  <si>
    <t>This Mexican food is very simple, slightly bland, but fairly fresh. The chicken is chopped up into tofu-looking squares. But I was satisfied with the food, which was fairly healthy Mexican food as Mexican food goes. The staff is quite polite. I met some cool people hanging out there while I sat outside.</t>
  </si>
  <si>
    <t>Ja8SAyDdf1aY-E7vVixJiw</t>
  </si>
  <si>
    <t>qyNtVViurIcChc35mfYIEw</t>
  </si>
  <si>
    <t>1fRGR6XTTElRBZW_oDrpUA</t>
  </si>
  <si>
    <t>Decor  functional 
Staff friendly and are really kind to our toddler
food rocks  within my  limited range of  red and yellow curries ( so much so they suggested I try something else, hey it's not my fault these are so good that I didn't want to risk anything lesser. 
Prices are a bargain for entrees,  spice is there, they really get the request to make it very very hot.   This is probably the best bargain  in North Phoenix for  spice hounds</t>
  </si>
  <si>
    <t>N3L6SDymSRkYQtTiSDmXSg</t>
  </si>
  <si>
    <t>umdxfhSlk67yGEi8-S-bEg</t>
  </si>
  <si>
    <t>2sG6LKzRz91l10stVHl8uQ</t>
  </si>
  <si>
    <t>This Place just opened up next to the salon I work in. AMAZING! They hit the ground running, 
It's a deli style, where you order at the counter and they bring you the food. I had the Grayhawk Turkey Club and the turkey was great! No packaged crap here. It was thick sliced and probably rotisserie. For the side I had sweet potato tater tots. DELISH! The have regular fries, sweet fries, tater tots, onion rings, etc. 
Great looking salads, Chicago-style dogs, gourmet burgers and yummy sounding mac and cheese. 
The only thing keeping it from 5 stars is the price. It's great for dinner, but a little steep for a work day lunch.</t>
  </si>
  <si>
    <t>F0dO68TECqEJBhBJ4P0qVA</t>
  </si>
  <si>
    <t>qsThMZ3lXWYLN4t08ScsNA</t>
  </si>
  <si>
    <t>fuY6Bf4EtW3UwrdLQJa9_Q</t>
  </si>
  <si>
    <t>I really really like Frances.  I love most of the clothes in there, but I can never have them because I can't afford it.  The store in general is pretty cool, there are lots of neat things in here from stationery to clothes to jewelry to baby stuff to dog stuff to vintage stuff.  There is a lot of stuff here.  It's all quite pricey though.  The sales they have every now and then are sorta okay, but still break the bank if you buy anything.  Overall they carry good quality products and the staff is super friendly and helpful.  I can't hate on a place too bad just because I can't afford it.</t>
  </si>
  <si>
    <t>W_QXYA7A0IhMrvbckz7eVg</t>
  </si>
  <si>
    <t>puy0PzIcCgR3KWJI7llBFQ</t>
  </si>
  <si>
    <t>UTWI0z7nV5zNJLWnOz9Z5A</t>
  </si>
  <si>
    <t>Solid food, great device, and casual environment.  They will not leave you hungry.  Overall, it's really good.</t>
  </si>
  <si>
    <t>PiDqfET_ZrDKJSLKe03O9A</t>
  </si>
  <si>
    <t>e0vubCKi8KD8zC2C6FdbuQ</t>
  </si>
  <si>
    <t>7uzj6rJ71toRmdsXyo2suA</t>
  </si>
  <si>
    <t>my son really enjoys islands, great food, casual kid freindly atmoshpere we go here quite a lot and seem to keep coming back</t>
  </si>
  <si>
    <t>wv5-4IPtpVA8wdqXu-Onpw</t>
  </si>
  <si>
    <t>faSdsW2s_SaVN0KTy-R2MQ</t>
  </si>
  <si>
    <t>HXU9dbOSlByXW-dB8LmJgA</t>
  </si>
  <si>
    <t>I was seated at the bar. A very nice young man was working the bar an provided good conversation.
I was offered a DELICIOUS chicken, bacon, bleu cheese amuse. Yum!
I ordered a pine nut pesto pizza, which wad delivered by the chef! :)
The crust was perfect! Thick enough for structure and substance, but thin enough to "hide" behind the flavors of tomato and pine nut pesto.
The cheese was also just right.
Delicious!
I also had the chicken panini, which was fantastic! The bread was a bit hard, but I think I was too busy talking and let it sit too long.
All in all I'd definitely recommend L'Academie if you're in that area of Scottsdale.</t>
  </si>
  <si>
    <t>7cR92zkDv4W3kqzii6axvg</t>
  </si>
  <si>
    <t>qB-qsaSnhbHCt18_AN4Quw</t>
  </si>
  <si>
    <t>1FvrC35rTJ6BWFvRog7tuA</t>
  </si>
  <si>
    <t>Everything was nice. The ice cream was delicious, no overwhelming alcohol taste &amp; an interesting variety of flavors. Service was fine, place was clean. I'll go back, but only because I have a killer sweet tooth and they're in the neighborhood.</t>
  </si>
  <si>
    <t>66PQJEHC0tCWGMI4V9KT-Q</t>
  </si>
  <si>
    <t>aRkYtXfmEKYG-eTDf_qUsw</t>
  </si>
  <si>
    <t>Ckk1Cne1GHwzmJfo7M4r2w</t>
  </si>
  <si>
    <t>(Un)fortunately for me, lux is close to my house.  I walk there nearly every day and am much poorer because of it.  The coffee and pastries are amazing.  They always play really great music too!</t>
  </si>
  <si>
    <t>IUWjTmXc3wLVaMHz33inaA</t>
  </si>
  <si>
    <t>JuBygU4XDjqSeW9okyvbsQ</t>
  </si>
  <si>
    <t>bu9S6tFKuTrMcNxQaQYMQA</t>
  </si>
  <si>
    <t>After watching her win on Cupcake Wars I was determined to find this place (It's very well hidden)and sample the cupcakes.  I have to say I was not impressed; i make better cupcakes on my own.  More creative and not so sweet you'll go into a diabetic coma.  i did have a California BLT as well and it was a good sandwich although the bread was a little too toasted for my liking.  The staff was friendly, the ambiance was very pleasant and it was clean.  But the cupcakes...really not all that.  Sorry....</t>
  </si>
  <si>
    <t>1MyXsAhZK35A6EAr4reLCA</t>
  </si>
  <si>
    <t>jRfdz5voj40P6WS9L54caw</t>
  </si>
  <si>
    <t>V75NCU3EhqTDwPj5In94DQ</t>
  </si>
  <si>
    <t>Good for an easy and leisurely business lunch or outing with the girls.  The market downstairs is great for takeout and a great selection of bakery treats.</t>
  </si>
  <si>
    <t>r-t7IiTSD0QZdt8lOUCqeQ</t>
  </si>
  <si>
    <t>7SO_rX1F6rQEl-5s3wZxgQ</t>
  </si>
  <si>
    <t>GxaYFCprt-wyqO--vB4PHQ</t>
  </si>
  <si>
    <t>After my last review, somewhat scathing regarding the burgers, I got an invite from the management to come down, meet the chef and give him another try.  I thought to myself, "how nice", they read my review and they are concerned about the quality of their product.  I think that is admirable.  I did not take them up on the offer, because I don't feel that would be appropriate - I'm interested in doing yelp reviews because I have benefitted from reading the reviews of others, and I want to share my thoughts and feelings too :-) - I'm not looking for freebies.
So, anyway, last friday seemed like a good day to walk over to LGO and see what's shakin.  I grabbed my growler jug (still the best deal around) and the wife, called a friend to join us for a beer and walked on down to the corner.  The evening was a bit on the warm side, but it was quiet and about the normal buzz of busyness for this corner.  It's always kinda crazy and we like to sit on the patio to watch the manic drivers race around trying to find parking.  We went into the store and the wife ordered a grilled-fish sandwich.  I nervously ordered a cheeseburger with fries.  After placing our orders and getting warned that we needed to be around to pick them up, I moseyed over to the bar to get my jug filled with Stella.  Did I mention that this is an awesome deal?  So, we got some glasses and headed out to the patio.  Soon afterward, they called our name and we got our grub.  My wife's fish sandwich was consumed with muffled oooh's and ahhhhs', and she raved about the perfect texture, grilled flavor and delicious, fresh multi-grain bread.  She also raved about the slaw that came with it.  I think she liked this sandwich.  The burger, on the other hand, is still a disappointment.  I ordered it Medium Rare (the only way to order a burger) and kudos to the woman for not warning me about undercooked meats - I'm aware.  really. And I asked for cheese and put it on a hamburger bun.  It came open-faced with a pile of coarsly shredded mild cheddar cheese.  It had the appropriate veggies - lettuce, pickle and tomato, red onion slices and the special sauce.  With a pile of limp matchstick fries on the side, it was a big pile-o-food.  The portion was impressive.  That's about where it ended for me.  The burger was overcooked and the pile of shredded cheese is a bit off-putting.  It's impressive, I'll give 'em that, but a big pile of cold, shredded cheese just doesn't work for me.  The cheese needs to be melted.  A good burger has the cheese melted.  at least some.  Lot's of cheese can be fun, but it overpowers the rest of the flavors and tends to cool the burger quickly.  I scraped off about two-thirds of the cheese - enough to make a cheese crisp if I had a tortilla, and put the burger together.  Flavor was so-so.  After I added some salt and pepper, flavor was just a little better than so-so.  Burger was cooked to med-well, but still juicy.  The veggies were fresh and crispy.  A side of mayo for dipping the fries in is required for me.  I like my fries Belgian style.  The bun was a little dry and on the edge of stale, but not bad enough that I could not eat it still.  Overall, I stand by my original review of the burgers here.  I realize LGO is trying to stand out with a "different" presentation, and I applaud the effort, but I think it needs a bit more work to stand out at a time when everybody is doing burgers.  The fries were sub-par, limp and forgettable.  The ambiance, however, is what brings us back.  Sitting on the corner patio, sipping a beer, having a great conversation and watching the show all around me is a great way to wind down on a warm Friday night.  LGO - keep working on the burger, I'll keep coming in, but I think I'll stick with the wings for now.</t>
  </si>
  <si>
    <t>J3I2NClEbD1Xr8lOdjxlqQ</t>
  </si>
  <si>
    <t>EC9WB-iVjd28B6R6KIZ8TA</t>
  </si>
  <si>
    <t>RZZ9Tf5GWYwrcjg-ACiKmQ</t>
  </si>
  <si>
    <t>Cliff notes
- Cheap: $1-2/plate
- Fast: It's ready-to-go and on a conveyor
- Acceptable quality: I'm here weekly and haven't gotten sick lol
This place is definitely good for what it is, "it" being a budget-friendly sushi place that's great for a quick bite.  In a response to the lower-rating reviews stating how the food is just okay at best or authentic or blah blah blah, well think of it like wal-mart vs. *inserthighendretailerhere*.  This place has a business model based on selling in large volumes (hence the low prices like wal-mart) so they're gonna have to "reduce costs" somehow (so-so quality food, not-so-attentive staff, and slightly smaller than average portions), but it's still a solid bang-for-your-buck kinda place.
On top of this, I can be in and out quickly since everything is already prepared, perfect for those quick 30 min lunch breaks.  All that's required is for you to grab it off the conveyor (depending on whether or not all the items you want are on the conveyor at the time). 
I've never had issues with seating, but do not make a point to go during peak hours and usually go with a small party (2-4 people).
For those claiming to be "left to fend for themselves" due to an inattentive staff, most of your sushi-related inquiries can be answered by this thing called "the menu" that sits on the counters.  See, this miraculous piece of technology contains things referred to as "descriptions" on them that help to inform you about the sushi going round-and-round before you.  Furthermore, there's even a pricing guide based on the color code of the plates to assist you further! WOW! Lol wtf do people expect for $1-2 plates of sushi?  Someone to hold your hand? LOLOLOLOLOLOLOL DIAF
And the cherry on top? $4 large japanese beers and $5 sake bombs! HELL YEAH!</t>
  </si>
  <si>
    <t>jdoGEEy5s-5L1O_lNzEi2g</t>
  </si>
  <si>
    <t>Bmt1QRDT0GfyXkhOvj_BfQ</t>
  </si>
  <si>
    <t>Fred M. pretty much said what I would say, so I won't beat a dead horse.  I'll add, though, that they offer a wide variety of deep-fried quesadillas.  
Did you catch that?
DEEP FRIED QUESADILLAS!</t>
  </si>
  <si>
    <t>aqqbh1NZoFk48kp0eqSLdg</t>
  </si>
  <si>
    <t>pWPzxPPXN4IqI7RUU_8KKw</t>
  </si>
  <si>
    <t>V4hBluqV-xbgzk7Y6y9kzw</t>
  </si>
  <si>
    <t>I have no idea whether there is a Japanese community in this part of town, but New Tokyo would suit one well.  It's rather small, but they have a wide selection of Japanese, snacks, beverages (including my new fave beer, Asahi Black), refrigerated items, staples, etc.  
This is not an Asian market, it's specifically Japanese, so don't expect more than a few crossover items like kimchi.  That being said, sometimes it's good to specialize.  It lets them carry more variety of Japanese products.
The cashier was very friendly when I finally stopped loading my basket long enough to check out.  Like the first reviewer, I loaded up with snacks for the hotel room...along with a six-pack of Asahi Black, of course.  Oh, one more important factor...the prices were quite reasonable, in line with most ethnic market imports...maybe even a bit cheaper than usual.</t>
  </si>
  <si>
    <t>ynGxw3zZqAjahVou563zXQ</t>
  </si>
  <si>
    <t>LDJhwZN14AZOJyHjg2lkRw</t>
  </si>
  <si>
    <t>hHwQaL3QN2xgTBSCQ26wIA</t>
  </si>
  <si>
    <t>We got passes for the preview of Mission Impossible (Ghost Protocol).  We enjoyed the movie a lot.  The theater itself is fine.  The chairs don't move, and you can't raise the arm rests.  No rocking, no reclining (granted most theater seats don't move a lot, but these don't move at all).  Otherwise the seats were reasonably comfortable.  The screen is IMAX (i.e. huge), and the sound was reasonably good.  
They could have put a little more slope into the auditorium seating.  In other IMAX theaters I've been in it seemed the heads of people in front of you NEVER block any portion of the screen.  But I found a few were just slightly into the bottom of the screen.  It wasn't bad, but given my other IMAX experiences I did notice it.</t>
  </si>
  <si>
    <t>Mb0psF4WQF7gZSuZafVr-g</t>
  </si>
  <si>
    <t>K8pM6qQdYu5h6buRE1-_sw</t>
  </si>
  <si>
    <t>GOconNmWgg6cJbgwSwrozw</t>
  </si>
  <si>
    <t>Alright, I have been away from Yelp for quite some time, and I feel that this place is fitting to be my comeback review...
Chicken and Waffles.  Yes, chicken and M'Fin waffles.  
In the ghetto?  Check
Has sweet tea?  Check
Has no-nonsense, quick service?  Check
Ridiculously long wait?  Check
Best thing that I have eaten in the last year?  Check
I have to say, not the best fried chicken I have ever had, but pretty damn good- it could use more seasoning.  Now the waffles, probably the best ever...  The waffles are deliciously soft inside, a little crispy out with a wonderful cinammoness to them.  The seating is cramped, but it doesn't matter as soon as your food is delivered your table goes quiet, you get tunnel vision and after the first bite you are taken away to an orgy of goodness.
If you are in Phoenix, this is a requirement.  Come real early or be prepared to wait.  Don't forget to order the Red Velvet cake and they have Kool-Aid if that fits your fancy.  Even after I came home from Arizona, I couldn't stop talking about LoLo's for like 2 weeks.  Shoot, two months later and I am still drooling thinking about it...</t>
  </si>
  <si>
    <t>yy1SbjeyWiAhWfSr5d0new</t>
  </si>
  <si>
    <t>FCcFT610nQBVcRdY-devQA</t>
  </si>
  <si>
    <t>6jRs2P6zTYMn36fVnCu1Zw</t>
  </si>
  <si>
    <t>In our continuing quest to identify cool, locally owned places to eat and/or drink, Caroline and I auditioned Vintage 95 last night. 
Before I go further, understand that whenever I go out for eats or drinks, I have  in  mind a Platonic Ideal of the Bar/Pub/Eatery I most want to frequent. I'm on a constant quest to find that  Ideal expressed in Real Life. 
Vintage 95 isn't quite there, but it's damn close. If I ever give something Five Stars, you'll know it has pegged my Platonic Ideal. Anyway...
The plan last night was for drinks. No plans for food, just Adult Beverages and warm conversation. But it turned into more.
The location in downtown Chandler is terrific for us. The owners have created a very fine visual experience - leather, stone, dark woods, good lighting. And they don't have the music turned up so loud that you CANNOT HAVE A CONVERSATION. This is one of my pet peeves. If I want to stare at people move their mouths while enduring an aural assault, I'll stand on the deck of an aircraft carrier. When I go out with friends, I want to enjoy their company AND their conversation. Is that concept so difficult to grasp? [/rant off]
The atmosphere at Vintage 95 is very close to my Ideal. I'd go back just to sit on the leather couches in front of the fireplace, and then go back another time to sit on the leather stools at the bar, and then go back about fourteen more times to sit out on the patio. Seriously - go check out the patio. It is EXACTLY what a Patio Hangout Bar should be. EXACTLY.
Caroline and I told the hostesses we were only there for drinks, so we were seated in the bar area in some fabulous leather club chairs. It wasn't initmate, but we weren't looking for intimate. And speaking of the bar, even though V95 advertises itself as a wine bar, they DO have booze. I'm not much of a wine drinker and was very pleased to see that they carried a pretty good selection of single malt scotches. Not an overwhelming selection, but well beyond the normal Glenfiddich /Glenlivit /GlenMorangie trio to which most places are limited. I had a couple of drums of Ardbeg, which is one of my new favorites and very reasonably priced at retail. (Scotch is never reasonably priced in restaurants, but I was celebrating so I didn't care.) Caroline had her normal "vodka martini extra dirty extra cold" which she judged to have "perfect dirtiness", (no wonder I love her!), perfect amount of olives and very cold. 
The limited Happy Hour menu had some very interesting choices. We settled on the bruschetta and the smoked tomato bisque. The bruschetta was VERY nice and quite unusual. You get to select four of eight choices for your bruschetta platter; we picked: (1) white bean and pancetta, (2) gravlax, caper goat cheese and pickled onions, (3) fig chutney, ricotta and prosciutto, (4) brie, pear and onion jam. They were all served cold, in nice sized portions and the flavors were all nicely balanced and very interesting. Caroline would have preferred the bread to not be so crispy, but I really liked it. The tomato bisque  was creamy, smoky and had well-balanced flavor. Caroline said it was unique and I say it was just darn delicious. 
Things being as they are, drinks and appetizers turned into food. A friend had told us "you have to try the Vintage burger", so we did. It came served with a mixture of regular and sweet potato fries, all nicely cooked and nicely seasoned. Recommended. The burger was VERY tasty. They obviously use good beef, the bun was fresh, the fixin's were tasty. HIGHLY recommended.
In for a dime, in for a dollar, right? So we ordered dessert. Again, the dessert menu is short, but I'm okay with that as long as they do it well. Chocolate torte with hazelnut gelato, apple pie with carmel sauce and creme fraiche gelato, and something else we couldn't remember. I'm allergic to hazelnut and don't like sweet desserts, so we decided to try the apple pie.
Like everything else we had sampled, the apple pie was unusual - you wouldn't find it anywhere else. It was served on a freshly baked puff pastry, cubed apples served on top and inside - tender but not mushy -  with lots of cinnamon and sugar, plate was swirled with salted dolce la leche. It was tasty, but instead of the expected creme fraiche gelato, we were served hazelnut gelato. I didn't realize it was hazelnut until I'd had a couple of bites and my throat started to swell up.
At this point that the night could have turned into a disaster, but to their credit - it didn't. We told the waiter who told the manager, (Gavin - one of the owners), who immediately came and asked if I needed emergency assistance. I didn't, I'm not THAT allergic.)  Frankly, their response was EXACTLY the kind of customer service you want to see. Anyone can make a mistake, so no harm, no foul. But I must give BIG Kudos to Gavin for his kindness, attention to detail and outstanding customer service.
We will DEFINTELY be back and I strongly recommend you put it on your list too.</t>
  </si>
  <si>
    <t>40aklZ2SQPKnlTPZdvAqww</t>
  </si>
  <si>
    <t>tA2DT7CGQPzgA6tTcTkXDw</t>
  </si>
  <si>
    <t>VyX6x7wnThr9g9Z6VBDIgA</t>
  </si>
  <si>
    <t>I have to add to Andrew's review.....
I just can't believe the things that happened!!
Yes the app was good.  The entree was good too, but there were bites of just bread with no chicken in the panini.  It definitely would have been better with more chicken!
But the girl working here is one of the worst waitress/bartender/hostesses EVER!
When we walked in, she didn't even sit us.  We stood there forever waiting until she finally told us to seat ourselves.  We went outside since there was nothing left inside.  It was too hot outside so we came back in and figured we'd sit at the bar.  Luckily a nice guy noticed us looking around and let us sit at the end of his table that he moved apart since his whole party didn't show up for dinner.
I was so excited when I saw they had cider on their menu!  And not just one, but two that I like!  Wyder's Pear Cider and Strongbow!!  
I ordered a Wyder's.  After I finished it and asked for another, she said they were out of them.  Okay, so I ordered a strongbow.  She came back and poured it into a glass for me.  When I took a drink it was disgusting!!  It was Boddington's!!!!  When I finally got her attention away from flirting with a man sitting at the bar to ask her for the correct drink, she told me they were out of Strongbow too!  How are you out of both drinks??  You're a restaurant.  Shouldn't it be stocked?  You're right across from a BevMo for god's sake!
When we ordered our food, he ordered the app.  Then I ordered my entree and she walked away!  She didn't even get his order!!!!  We figured it was probably for the best.  We'd split the app and the entree and eat less.  Stupid of the waitress to lose money that way, but whatever.
When she brought my food, she didn't bring the correct things.  How hard is it to remember?  She had maybe 4 tables to take care of!  Maybe if she stopped texting while she's behind the bar on her cell phone or if she'd stop having a conversation with the guy at the bar, maybe she could have done her job a little better.</t>
  </si>
  <si>
    <t>UL9chyH0a4Pj8J_9M6WSpA</t>
  </si>
  <si>
    <t>o5x6DF0KK1OBsiUOx2gavg</t>
  </si>
  <si>
    <t>IRGqHYbK5AOEv5MNYMz7cQ</t>
  </si>
  <si>
    <t>This would most certainly be "my" coffee shop if I hadn't already established myself as a regular at another local shop. This brand-new, independent coffee shop has spent the money to look really nice (it even has a fountain inside!).
But what money can't buy is community and unfortunately this shop doesn't seem to have much of that. Granted, building community takes time and/or energy. For their sake, I really really hope it works out in the long-run.</t>
  </si>
  <si>
    <t>xw77viWz_BbmyntxoBVH4A</t>
  </si>
  <si>
    <t>AaKlegu7gmOCD4rEESF76Q</t>
  </si>
  <si>
    <t>9CXNIZTV9uStuNbvvFS8uw</t>
  </si>
  <si>
    <t>No matter what I order I know it will be tasty. Maizie's have a lot to choose from which can be a little overwhelming for me. I love their wait staff everyone is always friendly. When I am in Maizie's I feel like I am in a neighborhood hang out.</t>
  </si>
  <si>
    <t>uA18GuF_ezOH6tXkrrykbw</t>
  </si>
  <si>
    <t>E6DnUFy3GoN4DxTqturtug</t>
  </si>
  <si>
    <t>nzSOTOZiAb1ITqbRgWKnnQ</t>
  </si>
  <si>
    <t>This restaurant is incredible, and has the best pasta carbonara and the best tiramisu I've had in my life. All the food is wonderful, though. The calamari is not fried. The bread served with dinner comes right out of the oven, and the tomatoes are the freshest I've tasted outside of my mom's own garden. This is great attention to detail.
I can no longer eat at any other Italian restaurant without feeling slighted. This is the first place I want take out-of-town visitors I'm looking to impress.
The owner, Jon, is helpful, friendly, and really cares about providing a positive dining experience. He's spot on with his wine recommendations, and he organizes wine tasting events which you can find out about by joining the mailing list or Facebook page.</t>
  </si>
  <si>
    <t>U3uT-Phb8iL2iuZpAROZlg</t>
  </si>
  <si>
    <t>znBnrQNq1FdUt5aIGAbyuQ</t>
  </si>
  <si>
    <t>9BJJwIciVG-JPlXetInbXw</t>
  </si>
  <si>
    <t>One of the spot my coworkers and I go to for lunch. We usually try to get there before 11am (weekdays) to beat the rush from all the Corporate places near the MetroCenter.  
The deli sandwiches are good.  I usually stick to getting the Amy's turkey-O.  If you plan on substituting a side, make sure you tell them because the cashiers don't normally ask and you'll be stuck with chips.  The salad bar here is very decent for the price.  
Don't forget to get ice cream on the way out!</t>
  </si>
  <si>
    <t>wJzMpk54FF2jeENqMBJ24Q</t>
  </si>
  <si>
    <t>l4vBbCL9QbGiwLuLKwD_bA</t>
  </si>
  <si>
    <t>DJVxOfj2Rw9zklC9tU3i1w</t>
  </si>
  <si>
    <t>I have always been a fan of Burlington's deals, however I will not be shopping at this one again. I went to return a belt... pretty simple. Instead, I stood in the customer service line for 15 minutes thanks to an employee of Burlington buying/putting things on layaway. It took three other staff to help her out. There were no words said to me except "Hold on". I was pissed. When the lady was finally done, the employee at the service asked "what do you want?" Serious help is needed there!
 If you work in the area of "customer service" I think you should have some.</t>
  </si>
  <si>
    <t>EPROVap0M19Y6_4uf3eCmQ</t>
  </si>
  <si>
    <t>YeDYa6tYL16CyqYvUVOtLw</t>
  </si>
  <si>
    <t>J2Ig5cV9fJU-KGewdzQXOA</t>
  </si>
  <si>
    <t>If I could give 4 stars for atmosphere and 3 stars for food I would.
With all the hype of getting a Margaritaville I guess was expecting a little more in the way of Margaritas and cheeseburgers. But I was underwhelmed with both. You can get a much better burger next door at Yardhouse and a much better selection of Margaritas from Salty Senorita. With that aside this place is quite the spectacle. It has 2 stories, a stage, fishing boat booths, and every other piece of decor that a Parrothead could love. TV's broadcast Jimmy himself rocking out and some odd montages of Parrothead outings. Live music is offered here several nights of the week and they offer 2-3 bar areas. If defiantly won't become part of the regular rotation but from time to time we might wonder in looking for our lost shaker of salt.</t>
  </si>
  <si>
    <t>gTCM7qlVrwdml-hFB6aJqQ</t>
  </si>
  <si>
    <t>P5uC-zfGG6yqoQDUyqyAvg</t>
  </si>
  <si>
    <t>rghv_qgXpluzDE9qn8CNrw</t>
  </si>
  <si>
    <t>It is romantic here even if you are with just friends. The waitress kneels at the couch to speak with you, pour your wine, bring your check...I love that...its so 5 star and respectful. Our waitress was so friendly and I was on cloud 9 because the whole ambience made my evening so nice. I love the darkness of it, its all so exotic and relaxing there especially with all the coves and different areas to be seated. Apparently you have to put your name down if you want a table for certain as it seems to be packed anytime I have been there. We needed one more bar stool-we had no reservation and the waiter actually went "out to the storage" to get us one. Impressive!</t>
  </si>
  <si>
    <t>nM3vfxr6fcnN_nXdzwbVCw</t>
  </si>
  <si>
    <t>CEswyP-9SsXRNLR9fFGKKw</t>
  </si>
  <si>
    <t>GXj4PNAi095-q9ynPYH3kg</t>
  </si>
  <si>
    <t>Another night meeting friends here.  I have to laugh.  Waited another 20 minutes for my beer to be refilled at the bar.  A girl even took my empty without even asking if I wanted a refill.  A new brunette girl that I don't recognize left the bar and sat down with her guy friends on the customer side AT 9:25 ON A FRIDAY NIGHT.  Another bartender had to ask her to come back and work.  Management....  Pull your head out of your ass!  Sad to watch....  I need to talk my friends into another place!</t>
  </si>
  <si>
    <t>MjLAe48XNfYlTeFYca5gMw</t>
  </si>
  <si>
    <t>6Ry-gjGqApTSRZkfdYlLmw</t>
  </si>
  <si>
    <t>LN4l4wklQB0IVBjm-vq9TA</t>
  </si>
  <si>
    <t>Not busy at all but took nearly 45 min to get our meal.  Ordered the trout and was shocked to see lots and lots of bones. Hmmmmm. Well asked the waitress about it and she said "they try the best they can"  hmmmmmm isn't this a "fish" restaurant? 
They comped the trout but still not sure I would go back.</t>
  </si>
  <si>
    <t>rWN1pg3mCF2btJWtG6JmJA</t>
  </si>
  <si>
    <t>taSsiZAGZSz2gRg7_M4XDw</t>
  </si>
  <si>
    <t>L_q9kLaGo33j2Ij8yUIGDw</t>
  </si>
  <si>
    <t>This an incredible church that embraces the principle that ......Christ Life Church exists to bring people into a life-changing relationship with Jesus Christ.  Three campuses allow Christ Life to reach into several locations...online, Tempe and Casa Grande.   The wonderful children's and youth programs appeal to a wide perspective of people.</t>
  </si>
  <si>
    <t>0jJhjgr3wPin-8vYnPab6A</t>
  </si>
  <si>
    <t>dY_p1YkjZxJmREb9Lfc5vw</t>
  </si>
  <si>
    <t>This is our favorite breakfast place. The food is good. They have the best biscuits &amp; gravy of any restaurant I have eaten at. The wait staff is friendly. The only complaint I have is that Sunday mornings are packed, so there can be a wait to be seated.</t>
  </si>
  <si>
    <t>0QTn4pMzKv1mnQifcP9YoQ</t>
  </si>
  <si>
    <t>mTcLzmYunqJIGKgklFWICg</t>
  </si>
  <si>
    <t>The best sweet and sour soup ever!  Food is delicious and favorable.  Delivery is pretty good, nice people.</t>
  </si>
  <si>
    <t>UHyDQ-laihWMGa8MtIToOg</t>
  </si>
  <si>
    <t>N5iW2JG5e-QyUh7brRNSfw</t>
  </si>
  <si>
    <t>I had looked at several invitation websites along with catalogs with no luck in finding just the right balance of wedding colors/design.  Thomas at Alphagraphics helped me every step of the way of designing and printing our wedding invitations and programs.  I knew I wanted a booklet-style, but needed a little design creativity from Alphagraphics which they nailed!  I highly recommend Alphagraphics to anyone needing any print work done - not just wedding invitations.  Thomas and his crew are stellar!!</t>
  </si>
  <si>
    <t>xP3o3-r0KRUnZqBSdIGJjw</t>
  </si>
  <si>
    <t>_HTE4pOKeJC7kcxiCF9vTA</t>
  </si>
  <si>
    <t>xNvNTC2iXwJiiujNK6Sphg</t>
  </si>
  <si>
    <t>Every now and then my Vietnamese side craves for PHO...are you surprised!?  Noodle Ranch is my local Pho joint.  I can literally walk to this place :)  Okay, the Pho Tai is great here....I got the combination once and it wasn't as good.  I love the decor here lots and lots of old photos of Vietnam.  Service is always good here and I've been here when their busy and when it's slow.  If you need a Pho fix I would definitely recommend this place!</t>
  </si>
  <si>
    <t>XqMkm-DD9VsdcKx2YVGhSA</t>
  </si>
  <si>
    <t>NNGJQF3WeIHzGzweCpZ-VA</t>
  </si>
  <si>
    <t>jNewOjPp56NMDrKlajrgFQ</t>
  </si>
  <si>
    <t>Yikes, reading other reviews I realize my bad experience wasn't unique. As a server I make a very laid back customer. I like pretty much everything I eat and don't require a lot of attention from the waiter. 
La Piccola Cucina would benefit from just one extra person in the front of the house. Our guy, though adorable and friendly, was too busy to refill our drinks and to remember to bring our appetizer (though charged us for it). The ahi tuna (highly recommended over the other fish options he said) was so overcooked it was the color and consistency of chicken. Like other reviewers mentioned, he was frantic and made that clear to every customer. At one point I even saw him in the kitchen cooking - they need another person! 
I left super stressed out from the experience, which is very, very unusual for me. You can either have bad service or bad food, but not both.</t>
  </si>
  <si>
    <t>5je-Jg8tq5BWxJtDBmTK2Q</t>
  </si>
  <si>
    <t>3HciJAVduCRoPDdzgh7cAA</t>
  </si>
  <si>
    <t>WONOXuKoiT2hkKITvTfC0g</t>
  </si>
  <si>
    <t>This is your typical Buffalo Exchange. I've been to others in San Francisco and San Diego, and they're all pretty much the same. Yes, they're super picky brand name whores about what they buy from you, but it means that there are some really great items for a much smaller price tag. I've gotten dresses that people always compliment and things that I've bought on impluse because I thought it was a great buy, and wore once. 
The building this one is located in leaves a lot to be desired, but  there are good buys inside. I walked away with a great pair of skinny jeans, a cute top, and a super comfy dress for under $50 =).</t>
  </si>
  <si>
    <t>IE_nJq65Qpso5fN4tG9zjQ</t>
  </si>
  <si>
    <t>4meJyPOhuAKzywUJTmu2hw</t>
  </si>
  <si>
    <t>IC2EAv_PGx44FnTvfAs_FA</t>
  </si>
  <si>
    <t>Though perhaps not the place you may pick for a special brunch with champagne and chocolate brioche French toast (a signature breakfast at the Sofitel Philadelphia), the Good Egg is my choice for neighborhood breakfast that offers consistent service and food in a comfortable atmosphere.
No matter how busy the restaurant becomes, and on Sunday it is packed,  the staff is always friendly and welcoming. You may have to wait for a table but the waits are never excessive and there is the coffee trolley where you can help yourself while waiting.  Even more remarkable is that even at its busiest (read Mothers/ Fathers days), service is speedy and attentive and the kitchen never seems to slow down.  Someone here knows how to run a restaurant!
The menu contains a large assortment of the usual breakfast fare, eggs, pancakes, french toast, etc, all well prepared and tasty.  In addition there are is a good number of health conscious offerings and even those less healthy dishes can be requested to be made with egg whites or egg beaters, and non-starch substitutes (cottage cheese, fruit, and tomatoes. etc).  Some of my favorites include the Hey Ricky Omelet, Huevos Ranchero ,or my indulgence a (as in one huge singular)  buckwheat pancake with (my choice of "fillings): chocolate chips ( I admit my addictions), pecans, and bananas... 
We always opt for the patio and even in the scorching summer heat; the misters make this a great outdoor picnic with the best people watching in Phoenix.
After you have been here a few times you feel like part of the family and with their frequent dinner program they offer even more incentive to return.</t>
  </si>
  <si>
    <t>t8vH6ubd-6i9DTisZaQdgg</t>
  </si>
  <si>
    <t>pRmHreZcF7YmNEEPukfcFg</t>
  </si>
  <si>
    <t>SWdrx60taMa442b1enwfCw</t>
  </si>
  <si>
    <t>I absolutely love this little spot! It's a great little known boutique with incredibly unique gift items that I don't have to drive clear out to Scottsdale to find. I've been shopping at Vignettes for about 8 years. Whenever I am in a quandary about what to get someone, this is the first place that I head to. Mostly it is because of the wide range of specialty items that they have on hand. Whether it's something for the garden, a gift for the new bride or baby, a unique piece of art, or heavenly scented candles - you will not be disappointed.
The owners / staff are super friendly and have always been more than willing to help find something within a price range or based on occasion / need. And they do the most amazing wrap jobs, making gift giving even easier.
The final bonus is their annual Clearance sale. For three days each year they basically blow out their stock to make way for new finds. Ask to be put on their mailing list to ensure your have a heads up and get there early because long time customers like myself never miss it. : )</t>
  </si>
  <si>
    <t>iwWBF3nKoRMoy1sbkLJwvg</t>
  </si>
  <si>
    <t>s9XNBJAZ3ZcNW5u8BRZXuw</t>
  </si>
  <si>
    <t>UxzU0E5eM_ZgIMus-wpS8g</t>
  </si>
  <si>
    <t>Great Southwestern restaurant.  The food is incredible, especially the stacked enchiladas.  Normally I do not eat heavy foods, but this was way too good to pass up.  The chips and salsa were very tasty as well.
Service was very friendly and timely.  The interior is pedestrian at best, but still a pleasant environment.</t>
  </si>
  <si>
    <t>BUeMRVgAQvBWnnrI2xcA1Q</t>
  </si>
  <si>
    <t>Xq9tkiHhyN_aBFswFeGLvA</t>
  </si>
  <si>
    <t>QqUj8brMiWkMicmlWtpPrw</t>
  </si>
  <si>
    <t>Went back to AB a few weekends ago, again for brunch, with a large group.  I was surprised to see that, although they advertise themselves as being a brunch place on the weekends, they have pared their menu down to basically 4 items.  The people that I invited that had never been to AB before were expecting more of a variety in brunch items since I'd told them that they had great brunch, but their concerns were quelled with a few bloody Marys and some good (if not diverse) food.  I had the egg sandwich sans bacon again (excellent again) and Sweet Pea and I split the french toast as well.  We'd only had a small sample of the french toast at the opening, so we didn't realize that it comes with this whole jar of cream and berries, in addition to the syrup.  If you come here for brunch and like french toast, you have to try it.  It's the best french toast I've ever had, and many at our table agreed.  The secret is that they bread it in cornflakes.  Yum.  And, the bloody Marys are in the excellent range, I'd say just below the phenomenal ones at Dick's/Rokerij.  The service was also friendly and quick.</t>
  </si>
  <si>
    <t>GVH_iuoPc0aP3ZNYlWuKag</t>
  </si>
  <si>
    <t>ImghNwml8N-ncAqhXe00hg</t>
  </si>
  <si>
    <t>gLHPqclZG51HH9EGzOFjxQ</t>
  </si>
  <si>
    <t>Great prices, great food. The staff is very friendly... I'll definitely be coming back here for lunch on a more regular basis. I had the kung pao, and the portions were incredible for the $5 I paid. 
Not mind blowing, but better than most Chinese places I've been to in the Valley.</t>
  </si>
  <si>
    <t>aLTl_OkLo0BFRxdz1n6sYA</t>
  </si>
  <si>
    <t>cBpJIOrVXotDI0XAZH_k0g</t>
  </si>
  <si>
    <t>ZXp8gEhfE7BHgRYIgnd3gQ</t>
  </si>
  <si>
    <t>Came here with a large group a while back.  We were there to eat and have a beer before a concert there. It was a weekday so we made it to happy hour. Happy Hour pricing was fair. The food was pretty good. The very best thing there is the beer!  They had like everything on tap! MMMM!</t>
  </si>
  <si>
    <t>O3huqF3nBeWP9Zd6NmCAaQ</t>
  </si>
  <si>
    <t>FkHhy6kWeoJf0xJTqzRWmg</t>
  </si>
  <si>
    <t>odua8qFSMEXSFYmElQTspQ</t>
  </si>
  <si>
    <t>This is my first year participating in Arizona to sell clothing, just wandering how busy its goona be in there ??? little worried, can any one reply me ??</t>
  </si>
  <si>
    <t>68exKLCQnnZrvXNFOcIUnA</t>
  </si>
  <si>
    <t>c1yGkETheht_1vjda7G5sA</t>
  </si>
  <si>
    <t>vwHmBJ5YKbZxNFtmP2KpRQ</t>
  </si>
  <si>
    <t>The vibe exuding from this place is pure awesomeness. Reminiscent of a trendy hipster coffee joint, this is actually a casual vegan restaurant. 
I am a pescatarian and unless I am eating seafood, I steer clear of meat, even the mock kind usually however once in a while it's delicious... so why try it here at Green I thought. The menu's style is comfort food, which as we all know traditionally is heavy on the meat, sauces, and fat content... so at least if you're going to be bad, you can do it with organic and pure ingredients.
So as I wanted to sample as much of the menu as possible, my lovely friend, her fiance, and I shared a few items:
*Artichoke Gratine: The corn chips were amazing, lightly salted and crisp. The dip was a bit too garlicky and runny for my liking. Ate a few bites of this but could not see myself eating the entire thing solo.
*Spicy Buffalo "Wings": first things first... do not let looks dismay you... true it looks gross but they taste legit! The flavor of the buffalo sauce was perfect, although could have been spicier. And the cucumber ranch dipping sauce was perfectly creamy and lightly flavored as to not overpower the "wings". This dish is a must try!!
*Vegan Chili Fries: the fries are thin cut and tasty. The chili sauce was good, at first, but I quickly got sick of the flavor. This could be because I was never a huge chili fan even back when I ate meat. Hmm, I think you are better off ordering the thyme fries.
*Crab Puffs: Perfectly crisp with a delicious creamy filling. Another must try!
Lastly my friend's fiance ordered that day's special which was a green chili burrito... delicious and huge. A bit too much rice but besides that a great option. It came with a side, which he ordered the curry pasta salad, mmm.
Green serves bowls, sandwiches, pizzas, salads... next time I am back in the area I will be checking out more of the menu when craving "meat" and not my usual tofu, seafood, veggie diet.  
Might I add the service is friendly. Perfect place for a casual friend date.</t>
  </si>
  <si>
    <t>YBVdmm5zlpLpi2_DiKsd2A</t>
  </si>
  <si>
    <t>5kRug3bEienrpovtPRVVwg</t>
  </si>
  <si>
    <t>BslISEau8Pk2voEPN7kY-g</t>
  </si>
  <si>
    <t>Rokerij is worth the hype. We popped in last week for a late bite and left super happy. We scored a few seats at the bar, the place was SUPER crowded (which is a good sign on a Wednesday). I started with a beer called Banana Bread, which was awesome. Wifey had a glass of wine, but I can't remember what it was. We couldn't decide on what we wnated so we ended up splitting the entree of Blackened Salmon with Apple/Chipotle chutney and some potatoes. We also got three of the small Plates: mini reuben, crispy calamari and cilantro rubbed grilled shrimp. All the food was awesome. The salmon was cooked perfectly, although i think I would have liked the chutney on the side, but that's small fries. The calamari was cooked perfectly, the shrimp were awesome (although the bed of rice it came on was meh), and the mini reubens were great as well. I was super excited to try it, and it delivered. Can't wait to go back!</t>
  </si>
  <si>
    <t>gcyEUr4DXcbjnGRAWFtfAQ</t>
  </si>
  <si>
    <t>d7_jkx0VPx3uHsUl18iHMQ</t>
  </si>
  <si>
    <t>xE2MKvzes5Twg-jfAe8s4Q</t>
  </si>
  <si>
    <t>Beer...or Yoga?
Located in a small center just east of Four Peaks Brewery in Tempe (a reasonable distance from the light rail on Apache), is an amazing, classy studio for the Mind-Body connection.
Mr. Mustachio had decided after doing a couple yoga classes with me at the ASU gym that he loved the stretch, so pursued a class for a semester at ASU this Spring and had the pleasure of practicing with Tish Hegel. After seeing his body transform to only 16.2% body fat, all his jeans get too big on him and fill out his American Apparel briefs nicely I was super jealous. He raved about his teacher and I could tell he had de-stressed a lot since he started the practice.
Luckily, she opened up a studio recently, and it simply goregous. The waiting area is filled with yoga material and a very calming space with a remodeled bathroom and dressing rooms to change if coming from work/school. Not at all cheesy like the SouthWest Inst with the way too many angels imagery (creepy!). But the gem is truly the practice space. Hardwood floors, high ceilings, a beautiful staircase, tasteful decorations and absolutely NO MIRRORS.  
That is right- the only person staring at my pudge rolls is my teacher and who-ever isn't focusing on their tree posture-not the entire class! It really relieves a lot of stress  and helps me concentrate on how a posture feels as opposed to just looks.
As for Tish Hegel, she is simply outstanding-she has so many credentials, you have to read her biography for yourself. She has been practicing for a loooong time, and her hands-on instruction and confident voice echoes in my ears even now (bring those shoulders down!). 
So far, I have done:  Ashtanga Inspired Flow (pretty intense, really hurt for 3 days, would recommend after getting into yoga for a while), Sivananda (ditto),  Focus Class (did a lot of bike riding and she focused on everybody's body issues and did the sequence right then and there for us and my lower back and knees felt amazing the day after) and this morning brought my friend to Kinetic Yoga: Morning Movement and Flow, which kicked our 6am asses a little bit but we both felt amazing afterwards!  She does tons of modifications, is always making sure we are okay, and is just super personable.
I did the huge package since I didn't renew my ASU gym membership for this summer, but you can do drop-in. 
Now for the cliched Yoga Review ending: 
NAMASTE!</t>
  </si>
  <si>
    <t>mfvezpz6ohS0NQk3DZdvqQ</t>
  </si>
  <si>
    <t>8ZwO9VuLDWJOXmtAdc7LXQ</t>
  </si>
  <si>
    <t>bxPZPvBJp5HwyKVHhcUMLQ</t>
  </si>
  <si>
    <t>Great hotel in Central Phoenix for a stay-cation, but not necessarily a place to stay out of town and without a car. Not much around the area, and unless you're familiar with downtown, I would rather have a guest stay in Old Town Scottsdale, etc. BUT if you do stay here, it's awesome. Great boutique rooms. Awesome pool that's happening in the summer. A GREAT rooftop patio bar, and a very very busy lobby with Gallo Blanco attached. A great place to stay, but have a car!</t>
  </si>
  <si>
    <t>qLCpuCWCyPb4G2vN-WZz-Q</t>
  </si>
  <si>
    <t>LzpR_jE6VIutJ08s2cdRrw</t>
  </si>
  <si>
    <t>EUCqs_gfKZi1YoKVkWjSYw</t>
  </si>
  <si>
    <t>really, I can't believe this place has received such high reviews from people.
my lady and i walked in, and were greeted rather rudely by a pretentious bitch at the front with a monotone "name please?", instead of a warm, friendly, french welcome to this rather charming looking place. we didn't have a reservation, which from the looks of how dead empty the place was, didn't seem like a problem. until the hostess whisked through her reservation list and explained she'd try to "fit us in". it was 6pm, the place had one other couple dining, and we were informed that the next party was arriving at 7:30. we weren't really looking to hang out. it would have be awfully lovely if yelpers would have informed of the need to MAKE RESERVATIONS before going in here, because if you don't, you're automatically a piece of shit according to the staff. sorry, i don't plan very much ahead. next time i will, and it won't be here.
anyways, after debating for a minute or two with herself, the hostess decided we could "squeeze in" and sat us right on top of the other couple inside the restaurant. she informed us that we could cork our own wine, for their low low price of 9 fucking dollars. in words only office space could adequately describe,"coup des tartes, what is it exactly that you do?". 
the food was good, nothing spectacular for $25+ a plate. we got a salad with apples and nuts and bleu cheese, which was served warm. now this is the first warm salad i've had all of my life, and by no means am i some sort of wordly food expert, but i believe salad should be cold and crisp. not soggy and warm. yuck. the cordon bleu was tasty and filling, however, the wobbly table was an extreme annoyance when cutting through the chicken, but it was solved (with no thanks to the staff) by placing a jack-in-the-box gift card under the leg. i will admit, the mashed potatoes are some of the creamiest and best i've ever had. my lady got the pork tenderloin, which had a strange peppery-sweet pairing which i didn't particularly care for. we were broke for desert, so unfortunately we didn't get to try any tarts. you would think for a place that promotes itself as being so poise would get some fancier menus, other than a $.15 piece of cardstock copied in bulk at kinkos.
this place was rather disappointing. i honestly thought it would be way more comfy and welcoming inside but it really wasn't. it presents itself as being so high class and french and oh-la-la wee wee, but when it comes down to it, it's still located in a tiny shack of a house at 16th street and highland. maybe if it were located in the biltmore i'd give it a bit more cred.</t>
  </si>
  <si>
    <t>HY9qpAamqLXFoa7xMwNntg</t>
  </si>
  <si>
    <t>5GpvSL1tlAjpgdJKZ5eLpg</t>
  </si>
  <si>
    <t>1RSEAeAWilUywt1B3SAkSA</t>
  </si>
  <si>
    <t>Great place to have a meal with family, can be a little on the loud side cause ita always a busy place, recomend calling ahead and getting name put on waiting list, reservations party of six or more only price range moderate, but well worth it</t>
  </si>
  <si>
    <t>P-9g9-6OriX0ElKpZknUKA</t>
  </si>
  <si>
    <t>O-Xa9GCFWI65YiBD5Jw_hA</t>
  </si>
  <si>
    <t>pyCM8bH0z8fp6cWg6f2hKQ</t>
  </si>
  <si>
    <t>Figured it is time to write a review after going here for quite a few years for dinner on special occasions or just to have some of the best seafood and Bone in fillet around. 
First off you have to understand that the cuts are top quality so you can order almost any steak off the menus and be dazzled by the flavor, which is fantastic to the point that adding anything to it would destroy the integrity of the taste as is.
 I mean the meat is perfection on a plate and this needs no other explaining.
If with friends or even your significant other you must start with the the seafood tower, which can be order in many different ways to match your appetite and likes. When presented at the table you and your guests will be blown away at the quality of the seafood and rightly so as it is brought in fresh daily.
The sides are too awesome in their taste and quality and i suggest the Lobster mash or the Maestros Mash potatoes neither of which will leave you hungry in their own right, but often wanting more :) 
Wine selection is great and the atmosphere is top notch, but topping it with some of the best servers in town makes this one of my favorites for entertaining. 
you will not be disappointed.</t>
  </si>
  <si>
    <t>qT17WVkJi0RvQ4nNPN6NDw</t>
  </si>
  <si>
    <t>9lDZ2d6oRpFsSWwDCCDQOw</t>
  </si>
  <si>
    <t>WD99RuBcxqvYRCFTf_mT3A</t>
  </si>
  <si>
    <t>I was only able to play the front 9; my wrist was hurting too much to finish, which is a big deal because I live in IL, and was returning from LA and stopped here specifically to play the TPC. Oh well.
I was a single, and got paired with another. The course was pretty open, but we took our time and enjoyed the round. The front nine, although rarely shown on TV, is quite nice. Definitely challenging enough, and I didn't even play the back tees.
It was fairly easy to get on, the bar had pretty good food for a clubhouse, and the staff were very helpful. Definitely recommend the TPC.</t>
  </si>
  <si>
    <t>Y9LxzNvQxKwLhy2Zo7R_4w</t>
  </si>
  <si>
    <t>vARjqeIkSNsazHltujiq4Q</t>
  </si>
  <si>
    <t>aRcp0rlSuAiuF-CDDZx9nQ</t>
  </si>
  <si>
    <t>I can't describe to you how amazing these gourmet adult hot pockets taste! They literally MELT in your mouth- a few of my favorites are the Cajun Chicken, Dill Salmon, and the Stilton &amp; Steak---Bon Appetit everyone! And don't forget about the all day everyday-$3 car bombs(you can't beat that price) their happy hour is amazing, too!</t>
  </si>
  <si>
    <t>ZoBrIw-7VgCOO30GJVCoOA</t>
  </si>
  <si>
    <t>145SQ_msdQ1yo7J0E63VoA</t>
  </si>
  <si>
    <t>VqNdpXrssjJrC0Z_swPUdA</t>
  </si>
  <si>
    <t>I was really excited about this event, maybe my expectations were too high, because I was really underwhelmed.  Very little shade, ran out of water, by the time I got there at 1pm (other obligations) 20% of the vendors were out of food, and by the time I ate my way through some, everyone else was already out.   60 bucks for that?  I don't think so.  
And when I mentioned it to "the person in charge", he was patronizing, invalidating and kept telling me how happy the chefs were.  Well, I'm your consumer, big guy.  
Sorry, Devoured, wish it could have been better. 
What food I did try, was pretty good.</t>
  </si>
  <si>
    <t>ASi6ZgbbwXIwU2H24uANmQ</t>
  </si>
  <si>
    <t>6iEP6dvHIefVMMnjeDRNcQ</t>
  </si>
  <si>
    <t>The beach paradise of Ixtapa-Zihuatenejo awaited us....unfortunately, so did a connecting flight in ARIZONA of all places...
Long story short....1/3 of our luggage did not arrive at our final destination, various articles of our clothing are still missing as well as my cell phone charger...not to mention security forcing us to open sealed containers of my son's baby food and milk for litmus tests...
I looked on the bright side....at least we didn't get deported =)</t>
  </si>
  <si>
    <t>8tbXmjYGsYFZXk6ppuwRWQ</t>
  </si>
  <si>
    <t>Hgbxen9iKGL4AH6kKgC8YQ</t>
  </si>
  <si>
    <t>CxVOhu043DTW4zPTsQnJPA</t>
  </si>
  <si>
    <t>So very Portlandia in its hipsterness and decor. Premium coffee roasted in-house, in the middle of the desert, no less! Who would have thunk it.
Baristas were profesh and friendly. They even warmed up our pastries upon request. Perfectly foamed milk and fruity noted espresso. I hope this place has a long life in Scottsdale, where great coffee is few and far between.</t>
  </si>
  <si>
    <t>cwm_3br1CTH8IO8ZwWzFLg</t>
  </si>
  <si>
    <t>yb17xHvhDJthJGS10uhFeQ</t>
  </si>
  <si>
    <t>ZbSLbPWeDfSL1HxyiSRqEg</t>
  </si>
  <si>
    <t>This is a little hockey dive-bar located in the Arcadia area.  TV screens hang above the bar &amp; as you look behind the bar you can see the hockey rink and players.  Enternaining as the other review said.  I had Dunkel Hefeweisen and my girlfriend had a Corona.  Good times as a group of kids played Rock Band and sang off-key Nirvana covers.  I like this little hidden place.  Just be prepared - it's your average little bar for the average Joe guy.</t>
  </si>
  <si>
    <t>7izaZThzAWk2UjrDTL849w</t>
  </si>
  <si>
    <t>0QrA-Klgp1R-GzUr6uJS7Q</t>
  </si>
  <si>
    <t>pMm0qHdnBWd_PWGyYEOnWg</t>
  </si>
  <si>
    <t>Love this place. Actually, today was awesome, because they usually only offer the "express dozen" through the drive thru, and the kids didn't want to go in, so the dude behind the speaker actually fulfilled my order as I wanted.
The only thing that bugs the hell out of me is that they charge for 2 donuts when you get a long john. :-(</t>
  </si>
  <si>
    <t>H4ewd_HH1DE0Y8RbC_7HbA</t>
  </si>
  <si>
    <t>hfl62LX14YqNpG0g0Tj6_Q</t>
  </si>
  <si>
    <t>E6-DKEktgxA_fLEnfguAwA</t>
  </si>
  <si>
    <t>I grew up on Empanadas in Panama and I have been hard pressed to find anything close to them in the U.S.. today I found them! 
A perfectly crunchy crust and the beef was beautifully spiced. Usually Empanadas are bland and soggy. They did a great job on these.
I usually don't like rice, but the rice and black beans were wonderful. 
Service was great! I'll be back!</t>
  </si>
  <si>
    <t>ziCKT5n58tcVfgksImx0VQ</t>
  </si>
  <si>
    <t>rRe2eLIQ4MQ7d6vFL26Qdg</t>
  </si>
  <si>
    <t>i5Ms8r5AMRa-wcU5-necFA</t>
  </si>
  <si>
    <t>Awesome subs clean and friendly well priced.</t>
  </si>
  <si>
    <t>Gi_ZP3Pjdvc9-a8aS3SH0A</t>
  </si>
  <si>
    <t>E8z9E0aFDYwC7KQuEU3GYA</t>
  </si>
  <si>
    <t>Y8GAudCnbK-05qkFzLsv0Q</t>
  </si>
  <si>
    <t>Had dinner and brunch, not on the same day...the dinner was good, although I thought the mandala masala could have used more flavor.  Brunch was great, tried 2 different tofu scrambles and both were very good.  Service is...let's say uninterested -- it's hard to be burdened with angst and chipper.</t>
  </si>
  <si>
    <t>0NckJhx0qXykvvhsm-p7MA</t>
  </si>
  <si>
    <t>yGmdo1ENajB98iryHGoWFw</t>
  </si>
  <si>
    <t>cALYebKb5hygdKHqlQJu2Q</t>
  </si>
  <si>
    <t>This is a very interesting place.  Don't go here thinking it will be classy.</t>
  </si>
  <si>
    <t>thlVIc8s6ZCP37UGMf3yDA</t>
  </si>
  <si>
    <t>QGeliKMObpVZ3jP89--ZIg</t>
  </si>
  <si>
    <t>SawdMXLYD5ytRmMFvY4nmA</t>
  </si>
  <si>
    <t>I LOVE Chic Nails!
I used to go to Tip &amp; Toes on 48th street and Ray Road, until one day they were "too busy" to take my friend and I in for pedicured. We discovered Chic Nails and have been doing all of our manicures and pedicures there since. 
The staff is extremely friendly and they give the best pedicures for a very reasonable price. I highly recommend this nail salon over any other!
P.S. It is extremely close to CK's Bar &amp; Grill to go for happy hour after! :)</t>
  </si>
  <si>
    <t>QAwWrE6LLbVHNtZOoDdRRw</t>
  </si>
  <si>
    <t>bc-lE-wGVAsUrX-kJhtY-Q</t>
  </si>
  <si>
    <t>j-jMQdELr6AFkCcEHxB7ww</t>
  </si>
  <si>
    <t>After the Padres Spring Training game, we had reservations at Don &amp; Charlie's in Scottsdale .  None of us had been here before and it came highly recommended by my dad.  As soon as you walk into Don and Charlie's your eyes start feasting on all the signed baseballs down the left wall.  Now everywhere you look from floor to ceiling and even the ceiling itself is covered in memorabilia and autographed items from athletes of all sports and other celebrities.   Besides the amazing assortment of sports artifacts, I especially like the Cactus League Beer List which pairs a beer with each city that has a team in the Cactus League.  Colorado = Coors Light , Texas =Shiner Bock, Chicago =Old Style, and San Diego =Stone IPA, etc.  Also worth mentioning is the complimentary chopped liver platter with rye bread and bagel chips they bring as soon as you are seated.  I had the ribs with coconut shrimp combo which was great. I wasn't thrilled with the side dish: potato's au gratin which is a $2.50 upcharge.  They also bring a huge bowl of cole slaw with each entrÃ©e or you can choose soup which comes in a smaller bowl than the cole slaw!  We were too full for dessert and as we walked out, this place was packed!  I found myself trying to take in as much memorabilia as possible and then on one side of the crowded lobby there sat Willie Mays himself.  He was signing his book (or a baseball) for a $200 charitable donation to his foundation. Needless to say, I 'm not bringing home any memorabilia myself!</t>
  </si>
  <si>
    <t>v10WwWFKPAK6aKjghrLj3g</t>
  </si>
  <si>
    <t>CrBsdxqOjPdnfsDxV89GJQ</t>
  </si>
  <si>
    <t>SmUMyCUNrT9HEo_DXdgUuQ</t>
  </si>
  <si>
    <t>I have to admit that I find myself thinking that I like mine tall dark and Russian. 
 It's nice to have a coffee shop near by that's not Starbucks, has good coffee and reasonable prices.  So far I just stick with the house brew (which is smooth and not too bitter yet not too sweet) since the fancy coffee drinks usually have many calories that I do not need!  I have tried the blueberry muffin-quite yummy as well as the chocolate chip cookies- delicious.  The cafe is attached to The Great Indoors so you can people watch, browse thru design books or take a leisurely stroll through the design center.  It's a great way to unwind or perk up on your choice of caffeinated beverage.</t>
  </si>
  <si>
    <t>bZFRqP7s0Vszxeu8_IwYow</t>
  </si>
  <si>
    <t>m9Wqqma30o-hH2fAX7dnug</t>
  </si>
  <si>
    <t>oTB_mpCKcu-8wayQQuCDZw</t>
  </si>
  <si>
    <t>Best food, super friendly staff, and great prices. Love it!</t>
  </si>
  <si>
    <t>FpCmGLWHe5Y-kDS7ZYaF5w</t>
  </si>
  <si>
    <t>M3zLQRbSF_VcGukkzxXc4w</t>
  </si>
  <si>
    <t>1e_YRoF0lrA9-4tvdym_Sg</t>
  </si>
  <si>
    <t>Christy is an amazing cake artist.  She has an impressive portfolio as she has a flair for creativity.  Her cakes are amazing and are truly one-of-a-kind.  She also has several delicious cake flavors to choose from or she can create one for you.   She has made several cakes for our family and I have been impressed with everyone of them.  I was also excited to see her compete on TLC's Ultimate Cake Off show early this spring.  If you're looking for a sculpted cake or one that will be the center of attention at your next party, then I recommend you call Phoenix Cake Company.</t>
  </si>
  <si>
    <t>_w_hrcZ-9uObIBepDmLJwg</t>
  </si>
  <si>
    <t>WqLc0KSfMHGoWNtvPque5w</t>
  </si>
  <si>
    <t>OK, Sweet Pea and I love us some Coup, and it's not just because we've been coming here for years- since I lived across the street and could see the restaurant from my window- or because we got engaged here (which was incredible.)  It's because the food never disappoints.  You can go to restaurants and have varying experiences from the best meal of your life to terrible, but Coup is not the place for that.  It's consistent.  And consistent can be good, or bad.
As consistently good as the food is, the service is likewise consistently slow (albeit friendly).  We went here for Valentine's day which we've been several times and I highly recommend.  It's romantic without being showy.  They have a special Valentine's Day set menu of 4 courses which is always interesting and good.  And, if you go on the day before Valentine's Day, they still have the menu, but it's cheaper.  Damn those greeting card "holidays".  The menu is also consistent.  The outstanding things are the brie brulee which is an absolute must-try as an appetizer, and the lamb shank.  Everything else is solidly good without being great.  The desserts are exceptional.  I like the BYOB aspect of the restaurant, although, they do charge you a lot for "corking fees", which amount to just charging you for nothing since they have a corkscrew sitting on the table and you are in charge of opening your own bottle.
Coup, I love you.  You get 5 stars if you vary your menu a little, please, please, please get more vegetarian (if any vegetarian) options, and improve your service.</t>
  </si>
  <si>
    <t>WaO_hAunQrZ--vI308rHQA</t>
  </si>
  <si>
    <t>4jkSNOjZN-35vo1_Z2SL7w</t>
  </si>
  <si>
    <t>Great food and awesome service! Even better that the Chef came out and personally checked on our experience. I will be back for more delicious BBQ</t>
  </si>
  <si>
    <t>COc06ScpJTN15NXMf4gkqA</t>
  </si>
  <si>
    <t>MbLozRSxSjtMJ3YmPCms7Q</t>
  </si>
  <si>
    <t>See the huge sign outside that says $2.50? Yeah, that's for shirts only. I was caught off guard when I brought in my skirt and got nailed for about $3.79. As I sadly handed over my $5 bill, the lady at the counter said a lot of people had told her they felt betrayed by the sign outside. No kidding. I had originally been heading down the street to Regal on 7th Ave.--who does a fine job in half the pickup time--for the "advertised" fake price here. Trying to make the best of it,  I told the lady at least I'd learned they had an onsite alteration service, and maybe that was worth a buck. UH OH. Picked up my skirt a few weeks later with some Jersey Shore-type chick at the counter, and was told I owed another $3.79. I flat-out refused to pay twice. She screamed at me, chased me to my car, wrote down my license plate and said the police would be visiting. Ni-i-i-ice.</t>
  </si>
  <si>
    <t>UfMHoQ4lic1aCkXFa4TxlA</t>
  </si>
  <si>
    <t>xbXkOaXLbwFsCMgsH6T9Tg</t>
  </si>
  <si>
    <t>After driving down a teeny dimly lit road and coming across what looked like a medical office building in the 60's, my husband and I found the amazing Fuego Bistro. We had a perfect meal there. Amazing ambiance, twinkly lights in the courtyard, live musician. Great wine. Food was so unique and delicious- I'd describe it as Southern-Spanish fusion. This meal was the highlight of our trip to Phoenix. 
If you live in Phoenix, you have no excuse to not come here. I live in Chicago and I'm sure I'll be back.</t>
  </si>
  <si>
    <t>kWIyajQP2mEv93yj34oemg</t>
  </si>
  <si>
    <t>LbSa1y7dGRZc4z6TXFG4AQ</t>
  </si>
  <si>
    <t>As Target's go this one is standard fare. That consistency is part of their brand recognition. However, as a part of the Up-Scale Desert Ridge Shopping Center, I'd expect a bit more than a Standard Target. Don't they have some sort of a Flagship Target?
Also traffic and parking can be atrocious at Desert Ridge. I drive to Target's and WalMart's much further from my house because the round trip time is less when I don't have to negotiate the teen packed Desert Ridge lot. Probably safer too.</t>
  </si>
  <si>
    <t>P_LzcrlVXFdgBq_24UnlUw</t>
  </si>
  <si>
    <t>39gCBTrQVeM4GVOt_wEoLg</t>
  </si>
  <si>
    <t>It's just like pizza bianco without the wait. This pizza is a 9.9999 and bianco is a 10. This place has a much larger menu and their deserts are to die for. 
If bianco has more then a 30 min wait just drive and or walk here.</t>
  </si>
  <si>
    <t>a_V8LRfMxGvpGtTwR2olrg</t>
  </si>
  <si>
    <t>Y-NqaDy_1bb-Y5dQ33x-Pw</t>
  </si>
  <si>
    <t>15YFoHK5HPQpg1u_vwbqmA</t>
  </si>
  <si>
    <t>Sacks is a different kind of sandwich shop. They have some crazy ingredients like varied sauces and mayos, fresh spinach, grilled peppers, and all sorts of other things you don't see at a typical deli. Then they serve it up on a baguette, wrap, or wheat bread for about $6. The specials are particularly diverse and change daily. On the other side of the coin, their website is horrible and occasionally we find some things missing or not quite right, but we chalk that up to charm and whimsy. (We get a weekly Sacks delivery.)
If you want a basic ham and cheese sandwich, you can get that here. If you want a sandwich like their Blue Bayou, which is spicy marinated chicken served with bacon, bleu cheese crumbles, cheddar jack, mushrooms, spinach, and chipotle mayo, all melted down, well, you can get that here too, but only on the days when it's a special. 
From their regular, artist-inspired menu, their Dali is an instant classic take on the egg salad: This one comes with lettuce, bacon, cream cheese, mayo, and tomato, on 12-grain bread. The Encore has prime steak, melted provolone, hot/mild/or mixed peppers, feta yogurt or marinara sauce, lettuce, tomato, and parmesan for $6.30. Seriously, give this place a shot and you won't be disappointed. 
Oh, and every sandwich comes with a lovely cookie. Brilliant.</t>
  </si>
  <si>
    <t>8-2W5CmkDl9vrkxRpkiPRg</t>
  </si>
  <si>
    <t>0RqNRc6RiILzZxK9J8Kqug</t>
  </si>
  <si>
    <t>2dEtB3h8yZEONOmUJIUPZQ</t>
  </si>
  <si>
    <t>This is my first time back in years. It will be my last. I was in the bar area for lunch it was almost 1hour 25 min before I could get out. Ten min before my drink order and almost as long before food order. A secound drink forget it. Guy next to me walked out.</t>
  </si>
  <si>
    <t>uQYOGKahTkpR9wEVjaAOCw</t>
  </si>
  <si>
    <t>YEQkTCmphjr6XKPh4m93AQ</t>
  </si>
  <si>
    <t>L1SNUf6VQgG2rolLLvVgxw</t>
  </si>
  <si>
    <t>As mentioned earlier, the best thing about this place is the super cheap, but super delicious lunch bentos.  You get a main dish, rice, salad, and an orange for under $4. If that's not enough, you can get double meat for a buck or two more.  I highly recommend the ginger pork or the katsu.  My friend I normally go with is a big fan of the white fish (fried or grilled).  The sushi here isn't bad.  It's nothing super special, but I don't come here for the sushi so it's not a big knock against the place.
As they would say on ebay: A+++ Great Seller! Would eat here again!!!</t>
  </si>
  <si>
    <t>StiQ_lcCY8sX4JI-J6Mufg</t>
  </si>
  <si>
    <t>i2WTOTbT1lqu0byxcnY-GA</t>
  </si>
  <si>
    <t>'twas the night before booyah
and all the through the city
people were piecing 
some pretty shitty
costumes together
at savers, good will
george w bush
clintons, bill and hill
jay-z &amp; beyonce
biden and obama
even saw kanye
oprah, super mamma
yep, octomom
brad pitt &amp; jolie
and men as madonna
and lynn sue cooney 
i went to Easley's
to see what they had
of course, it was madness
every kid, mom and dad
crammed into the isles
pulling on wigs
vampire masks
and noises of pigs
all being assisted 
by the yellow tee'd staff
so very helpful
no panic, just laughs
"yes we have liberace
in fact, we have two
try both of them on
i'll grab 'em for you"
they found me a boa
a wig and make up
took just fifteen minutes
case opened and shut
and all around me
this repeated itself
the people rolled in
pleased people rolled out
into the darkness
parties around town
wonder how many
were out gettin' down
in get ups from Easley's
i'm guessing a ton
so check out Bert Easley's
make up, magic, fun
bright yellow building
south side of mcdowell
since nineteen sixty four
makin' halloween, howl</t>
  </si>
  <si>
    <t>QKW7sYPWPSsIcWqSiDzChQ</t>
  </si>
  <si>
    <t>1Q_H3BLhKBymF6Se8FfZNw</t>
  </si>
  <si>
    <t>_o_WRkKLk7NJeOO6NsOmMA</t>
  </si>
  <si>
    <t>Unless you are a regular or look like your wallet is fat don't expect the best service.  Entrees cost about 20-38 bucks and Anti pasta runs between 5-20 desserts are all 8 bucks unless you get aged balsamic vinegar.  They also have a big cheese selection. 
I made reservations for this restaurant and they sat us by the back door.  The waiter never once explained anything on the menu or suggested a wine to go with our meal.  He didn't even tell us about the cheese menu except to check on the one we wanted.  The other waiter for a table near ours went out of his way to explain the menu and go as far as to tell his tables how to eat the cheese ( it comes with jelly's and such) .  
My meal was good I had the duck.  She had the salmon which tasted very fishy.  Not fresh at all.  The wine was 40 bucks for a carafe ( maybe if we would have got a 100 dollar bottle we would have gotten better service)  The Dessert was good it was a rich chocolate cake with nuts and chocolate sauce. Nothing too special.  
Overall the experience made the meal not worth the 115 bucks in these times not to mention they overcharged my girls card for the drinks at the bar.  If we dont want to give 25% don't charge it plain and simple.  
Just a warning reservations and customer service mean nothing.  We mentioned our complaints to the waiter and manager.  We received an apology but how bout comp our dessert or something.  Hyatt Gainey staff is also rude for the most part.  
Two thumbs way down.</t>
  </si>
  <si>
    <t>JnRT9i2d71pY8D8ngzCz9Q</t>
  </si>
  <si>
    <t>qRBeZAFiId0ainBtpFSGuQ</t>
  </si>
  <si>
    <t>NqIsMdYelNlkeK32kJPsCQ</t>
  </si>
  <si>
    <t>Returned Sunday afternoon and was  pleasantly suprised. Happy Hour is 7 days a week 3-7 pm   ; )    I recieved great service at the bar which was friendly fast and efficient(Janessa) .I ordered couple of drafts and wings with good happy hour pricing! I will be back!</t>
  </si>
  <si>
    <t>xOLR24JjRq3nE6lW-869Ug</t>
  </si>
  <si>
    <t>PmPOuRvuN3CoNOi1nBj_TQ</t>
  </si>
  <si>
    <t>tiSpPFzMEWbEZf7mXJ-O6w</t>
  </si>
  <si>
    <t>LOVE THIS PLACE!!! The food was amazing,who cares if it's  chain restaurant.
      We had tried to go the night before but they were packd so we made a reservation for the next night.It was really busy when we go there but we were seated immediately.Our server was really nice and very helpful when we told him we had never been there before.
           We ordered the fried alligator app,and loved every bite of it.I had the filet mignon and rock lobster tail.The steak was cooked perfectly and was a good size for the price.I'm not usually a huge fan of lobster but wanted to give it a try,Pappadeux has changed my opinion about lobster,the meat  came right out of the tail.It was buttery andjust plain yummy! It was the first chance hubby and I really had a chance to go out to eat without the kids,so we really wanted to make the most of our time.And we wre definetly able to do that here.Refills kept coming even after we had paid the bill.I also loved the live music from the jazz quartet making its way around the room.The only thing thats keeping me from giving it 5 stars is that the tables were too close to each other,and it was so loud I could hear the discussion at the table next to me but I had a hard time hearing my huband across the table.I will definetly be going back to Pappadeux over and over again.</t>
  </si>
  <si>
    <t>PFaAf7rqKfWXIPiG1qxCiw</t>
  </si>
  <si>
    <t>F-ykHfGY9lWr12OJ_Ofy7A</t>
  </si>
  <si>
    <t>ty51pvsTv3KxBaeHFWFZrw</t>
  </si>
  <si>
    <t>Hit or miss food. I ordered the meat plate with corned beef, zuch and asparagus for the sides. Corned beef was WAY too salty, and same thin style you get on a sandwich. I sent it back for a chicken breast bone in, which was the driest chicken I have ever had. The side veggies were good (perfectly grilled no butter), and accompanied by garlic bread. I think this place has potential but I ordered wrong. I sat at the bar and service was mediocre. Price was pretty low though. Good place to watch the game.</t>
  </si>
  <si>
    <t>DowPyTFtqen32BuOmzuBXg</t>
  </si>
  <si>
    <t>0BpMvu5B9fY-KEbOuxLtFQ</t>
  </si>
  <si>
    <t>Fzn7pH4L44WChbaMYaZmxQ</t>
  </si>
  <si>
    <t>Absolutely the best sushi in the valley, hands down.  The fish is fresh and their spicy tuna is like no other.  However, the service is extremely slow. We once waited 75 minutes to get our lunch and the restaurant wasn't even full.  Can't say much about the cooked food though, but the sushi is amazing.</t>
  </si>
  <si>
    <t>rz5kClFIidz_-sfJm4V7MA</t>
  </si>
  <si>
    <t>XMRj865sZBPWCI7tx0uBWw</t>
  </si>
  <si>
    <t>LfMuF4r-UJFf-ji1pAVlBA</t>
  </si>
  <si>
    <t>It was as good as everyone says!  And sooo inexpensive...appetizers, entrees, and drinks for 3 people...about 30 bones.  Not to mention the mountain of leftovers we brought home.</t>
  </si>
  <si>
    <t>P4XRTKPDREmWvPIg81CzUQ</t>
  </si>
  <si>
    <t>CvRGjwCsrQs1DYYL3z8R7g</t>
  </si>
  <si>
    <t>xCEvHEszA3-CmFqtHacVQg</t>
  </si>
  <si>
    <t>Take your money elsewhere, unless you've got kids.  I really try to like this place.  A family member signed me up for the discount card, so I've been going more often, but I just don't love it.  It's simply ok, but the prices are outrageous.  And the sounds and animatronics are a huge distraction from the so-so food.  The cocktails are alright, but, again, the price is not right.  The ony thing fun about the place for an adult is the gift shop and the light-up cocktail glasses (which cost extra.)  I've seen a lot of happy families in here though, so I bet it's better if you have little ones to bring along.</t>
  </si>
  <si>
    <t>jKeaOrPyJ-dI9SNeVqrbww</t>
  </si>
  <si>
    <t>UI5ghIUeHYxzwSfaDVUXOA</t>
  </si>
  <si>
    <t>_gh5ddLVeF7xEQVUKJLiVg</t>
  </si>
  <si>
    <t>Friend and I were planning on going to Postino's next door but it was already packed at 5:30 on a Thu... Anyway we tried out Aiello's and were happily surprised. I had the Scallops Venezia and my friend had the veal. Both were very well done and the bread was delicious.</t>
  </si>
  <si>
    <t>w70p852jPyabsc2JEIis4w</t>
  </si>
  <si>
    <t>YKOvlBNkF4KpUP9q7x862w</t>
  </si>
  <si>
    <t>_Ctic3_Iuw0ECtqH2Yw5yQ</t>
  </si>
  <si>
    <t>Took my fiance' there for Valentine's day/ Birthday.  I did a lot of research of romantic places around the Valley, and this one really caught my eye.  Immediately after walking through the door, you'll notice a dark and romantic ambiance with a lot of candle light.  Seating is a bit tight, but it wasn't bad enough for me to give it a lower review.  We began with an appetizer called "Table side guacamole" which was incredible to say the least.  It literally is made in front of your table.  Then it was onto the main dish... Build-your-own  Pork tacos.  Talk about tender meat!!  The shoulder of pork literally fell right off onto the fork.  The tortillas were exceptional, and so was the tasty sauce which included pineapple glaze.  So, the food was absolutely delicious...but the service was equally impressive.  My water level never reached the bottom of the glass the entire night, and I drink plenty!  Everyone was incredibly nice and cheerfully said "Happy Valentine's Day!" and "Happy Birthday!" to my fiance', which made the experience even better.  A fantastic place that I'll have no problem recommending to others to visit!</t>
  </si>
  <si>
    <t>cCwj4RJSKU4-o9ZZ1VTtmA</t>
  </si>
  <si>
    <t>qkbloHdDZuHf_0wTqUGPjQ</t>
  </si>
  <si>
    <t>mmAi-uXUcfWLnH8qK2gfug</t>
  </si>
  <si>
    <t>I have had a great experience every time I have been there.  The food is hard to beat and the service was pleasant.  
Portions are reasonable, not huge (I'm a big feller), and I was satified every time I ate there.  
Very pleasant environment, clean, spacious and calm.</t>
  </si>
  <si>
    <t>ENJpS6i-s9hWiQg9ZGwevQ</t>
  </si>
  <si>
    <t>1DjRf3AdYpdlC1Df9KD6rA</t>
  </si>
  <si>
    <t>28guWjT8KRZKvMZkltdzew</t>
  </si>
  <si>
    <t>My husband and I went here on a Saturday night for dinner because we had a restaurant.com gift certificate. Yes, it's in the Sheraton, and yes it's near the airport with not much else around, but I have to say- we were both impressed. 
We started with the Gambas al Fuego, which were deliciously spicy (although I thought that $10 for four shrimp was a bit excessive, no matter how tasty they were). We both had house salads with blue cheese dressing- I think you can tell a lot about the quality of a place by their salads. They used fresh field greens, the tomatoes were perfect and sweet, and even the thinly sliced onions were sweet and delicious. The blue cheese dressing was fantastic, and had actual chunks of blue cheese. I was impressed, for a hotel restaurant. For our entrees, I had the hickory smoked baby back ribs (good, but not phenomenal) and husband ordered the chorizo chicken- I am so glad he shared a bite with me, because it was awesome. I was really wishing I'd gotten that instead of the ribs. Oh, and I especially wanted to mention the asparagus that came with my ribs- tender, cooked just right, and flavorful. This place uses quality ingredients.
If it wasn't so out of the way, we would definitely come by regularly. My husband was especially enticed by the prime rib melt sandwich, so I think we'll be back during lunch in the near future. 
The only reason I'm not giving 5 stars was that the atmosphere was pretty dead. Which I suppose is understandable, given that it's inside the Sheraton. The decor was nice though. They should have a free standing restaurant in an area with more traffic- this place would be a hit.</t>
  </si>
  <si>
    <t>4B6aJJTELjivUXrL_LTlqQ</t>
  </si>
  <si>
    <t>nFo_63pTr-4ZhakuaRFOCA</t>
  </si>
  <si>
    <t>L1ur4N-XFG_kviP0M2_SCA</t>
  </si>
  <si>
    <t>I love this restaurant!! I have been a fan of the Newport Beach location for years. Scottsdale definitely did not disappoint! The staff is friendly and knowledgeable. The drinks are fresh (worth the extra wait for the tasty Cucumber JalapeÃ±o marg). And the food? Goes without saying, it's CRAVE worthy. This is a new location, so I expected the usual growing pains. But overall, a great dining experience. Welcome to the neighborhood, SOL Cocina!</t>
  </si>
  <si>
    <t>E8Gh1Mv8Jtb6eJQjNmIPXg</t>
  </si>
  <si>
    <t>rZbHg4ACfN3iShdsT47WKQ</t>
  </si>
  <si>
    <t>hh1L68RTi1FCHNfXGHkc7A</t>
  </si>
  <si>
    <t>That darn Smokehouse burger is awesome. 5 stars. 
The smoked corn was a little Meh... it was oily like not butter oily... not a huge fan of the texture either. I like corn crunchy and it was not. 
Service was great. 
I did see an unmentionable bug running around near the back entrance towards the chicken rotisserie thing, but bugs have to eat too right? (still 5 stars lol)</t>
  </si>
  <si>
    <t>CgHcO651uEE3aalrkm4boQ</t>
  </si>
  <si>
    <t>L8C_ZWqXelQDG_SzAp3TkA</t>
  </si>
  <si>
    <t>My friend kept telling me how good their lunches are... I tried it, but it didn't do anything for me.  The sandwich tasted like something you can get at Safeway, but twice the price.  For being called a Purveyor of Fine Foods, I expected the food to taste like not just any ordinary sandwich. 
What I had:
Ham, cheese with portobello mushrooms on a panini with 2 sides of pasta, one was parmesan and the other was macaroni. Maybe it was the panini bread. I think the parmesan pasta was made there, but I know for sure the macaroni was not made there, it tasted like something I had at a picnic which was in a carton. It wasn't anything to brag home about. 
I found out the head chef made my sandwich... keep him in the kitchen and away from the customers, no personality whatsoever. I asked for his suggestion, and his reaction was "anythings good." 
Normally, when I go to AJ's, I go for their desserts. Their desserts are fabulous and you can get individual servings at a reasonable price.  I can take an assortment home and have them for later. 
Our company does use them for their catering and I've had many compliments on their dishes, but pass on the lunches.</t>
  </si>
  <si>
    <t>QSYnt4piL87oEWJHJ8_pGA</t>
  </si>
  <si>
    <t>huxYC5ZvUwJdJE3tfhnpIQ</t>
  </si>
  <si>
    <t>Oz9HXBHI8cqTeFgEusyUrw</t>
  </si>
  <si>
    <t>Very friendly and knowledgeable guys.</t>
  </si>
  <si>
    <t>hLRoMJv9KSoBLJILh2TwOg</t>
  </si>
  <si>
    <t>1-9CLP4RWHJbNThB7r1ErQ</t>
  </si>
  <si>
    <t>The florist manager is great, but i have not had a great experience with the night manager.  He seemed upset that i was stopping him from tidying the shelves to ask about putting an order in for flowers.  
He said he had no clue how to order flowers and could not help me. I would need to come in and speak to the Florist Manager in the morning..... Well I work and i wanted to order flowers as a surprise thats why i was there in the evening. 
thought it was odd.</t>
  </si>
  <si>
    <t>c0iszTWZwYtO3TgBx0Z0fQ</t>
  </si>
  <si>
    <t>7Xmf43U-uyrL6FFtq6OSBA</t>
  </si>
  <si>
    <t>I feel the Days Inn Tempe is best described as "a place where you can purchase the right to sleep for awhile." 
I booked my 10-night stay on Travelocity for a non-smoking room, yet when I entered the room I almost choked. It was disgusting. I've never had a smoking hotel room before and I will make sure I don't again. They said they couldn't move us to a different room.
My local lady friend brought over a bottle of wine but forgot a corkscrew. No big deal, I thought to myself, as the front desk of a hotel will surely have a corkscrew. Nope. Coors Light it is.
The towels felt like they were made of cow tongue, and they missed our wakeup call one morning making me late for a training class that had cost me about $500.
I'm awarding one star in addition to the minimum one-star rating because I got to drink cheap beer by the pool in 90 degree weather for 10 days, and there are a few good places to eat and two dollar stores very nearby. The dollar store had a corkscrew.</t>
  </si>
  <si>
    <t>rVlgz-MGYRPa8UzTYO0RGQ</t>
  </si>
  <si>
    <t>sbsFamEj5wDxNAjUKrMcSw</t>
  </si>
  <si>
    <t>4h1s3CFZX8QjIRmPX1URUw</t>
  </si>
  <si>
    <t>Came for a friend's birthday and really was not that impressed. First of all, it took us a while to find parking as this place only has street parking and a few spots in back. On Saturday if you are there before 7pm, all alcohol was 1/2 off and some appetizers were on special. We ate dinner there and the menu was very limited. The food was okay, but our burgers were over cooked. The service was slow and it took us a while to get our check. I'd go to hang out again and have a few drinks, but I wouldn't suggest making this your regular hang out.</t>
  </si>
  <si>
    <t>4xaC4c660LOb2qdVeSZfqg</t>
  </si>
  <si>
    <t>aBjgE5pLhtz4RGGR-IWpGA</t>
  </si>
  <si>
    <t>LAXS5fIoyHBmRe-gJxUcQA</t>
  </si>
  <si>
    <t>Too bad about Mandalay Noodle World. Maybe if they had stressed better service and played up the Burmese aspect they would have had better luck. Who knows?
Betito's moved in, and they're okay. The wife and I stopped in yesterday. I had a carne asada torta and a taco and both were about average. Their hot salsa took it up a notch though. My wife had something with diablo in the name (sorry, I'll have to look at the menu when I get home) and loved it. They do the usual menudo on weekends and the whole place is more or less along the lines of a Filiberto's--not that there's anything wrong with that. The whole bill was less that $20, so prices are good. 
Clean enough place, cheap, food is okay, and service is adequate. I would not go out of my way to get there, but if it is in your neighborhood it is worth a try. I'll probably stop here from time to time.</t>
  </si>
  <si>
    <t>1wMGLaMIH7CcmJ2htS1rmw</t>
  </si>
  <si>
    <t>08Z_Zzp8PyEmWWpYurIO-Q</t>
  </si>
  <si>
    <t>skfhecYPk8vURCcrfTWtUg</t>
  </si>
  <si>
    <t>Excellent service and food.
Very clean.
Friendly folks.
Beautiful patio</t>
  </si>
  <si>
    <t>dCrd49_lbC3YAgTOZZwYmg</t>
  </si>
  <si>
    <t>K13dEvg4uimGQ1OcE5vGZA</t>
  </si>
  <si>
    <t>H8Uhlrj1bEaAgK5J9SomPw</t>
  </si>
  <si>
    <t>This is my 2nd time to this AMC.  I like it!  It is huge and clean.  The wait for tickets were quick and they have it set up that it is a hotel check in.  Not behind a bullet proof pawn shop set up.  LOL!  The concession area was huge with mutliple lines open.  Not much of a wait either.  
Walked into theater #10, not too shabby.  Pretty big screen and clean seats.  The speakers sounded great.  I had a great time.</t>
  </si>
  <si>
    <t>_PzSNcfrCjeBxSLXRoMmgQ</t>
  </si>
  <si>
    <t>c0RSs2KYK5Y-ZlSrNq9LyA</t>
  </si>
  <si>
    <t>QESrotRf2_9329fpBgKvsw</t>
  </si>
  <si>
    <t>I have been here several times now and have never had a bad experience yet.  Good food, good service; no complaints.   Still have never made it here for happy hour, but their specials during that time seem like quite a deal.  The staff are always friendly and seem to remember us from one visit to another.  I've only ever eaten sushi here, but they have a lot of other menu items that I would like to try at some point, but I always turn to the sushi as it has always been good and fresh.  I would recommend trying this restaurant.</t>
  </si>
  <si>
    <t>psBJOZfXxUPHmF8mi8G0pw</t>
  </si>
  <si>
    <t>odhXwWaYZvD_icIN6f_DbA</t>
  </si>
  <si>
    <t>ygVApLq3sbc_U-Y9zFWRdQ</t>
  </si>
  <si>
    <t>Affordable and good.  Clean restaurant.  Will return.</t>
  </si>
  <si>
    <t>_tBu-2i9uT6LFxh-TyEOHA</t>
  </si>
  <si>
    <t>uxoibUaXA-lRXM37ZV8Bsg</t>
  </si>
  <si>
    <t>OUhKpg-1LG7bpyxHLtbJDQ</t>
  </si>
  <si>
    <t>Absolutely horrendous.  This post office will lose your mail (repeatedly), laugh about it to your face, lie about it, blow it off, make it seem like it's your fault and make you wish you had sent it UPS.</t>
  </si>
  <si>
    <t>VKiWDL608wBRQtk05ts59g</t>
  </si>
  <si>
    <t>87EXGxQk0nrM41NCfB1HTQ</t>
  </si>
  <si>
    <t>XGZzqC_pPOwqO5QZhHdBNw</t>
  </si>
  <si>
    <t>I'd love to give these guys a better review, because they were very friendly and professional.  However, I was very dissapointed with the service I received.  I'll type the one sarcastic comment that I can't get out of my head and then I'll get to the more substantial feedback.  I thought a detail was supposed to be a little more DETAILED.
Here are the positives, because I want to give credit where credit is due.  The guys come to you and are very polite.  They were a little delayed, but called to let me know which I appreciated.  Also, they do a great job at steam cleaning the carpets and the exterior wax job was awesome.
On to the negatives.  When I came out to see the work they did, I immediately noticed several smudges in the interior which they cleaned after I pointed them out.  Also, I noticed a scratch on the passenger side leather seat and a hole punched in the carpet near the pedals.  Anyone who knows me knows that I am a DETAIL oriented person.  Those defects were not present in my car prior to this job.  To add to this bit of a let-down, a day later my boyfriend and I noticed that they didn't even touch my trunk!  They didn't even bother to vacuum it out!
When you advertise on your website "showroom quality," I expect showroom quality.  Overall review: good job on the exterior, attention to detail in the interior was very poor.  I am really dissapointed that the attention to detail just wasn't there.  I was expecting so much more from a detail job.</t>
  </si>
  <si>
    <t>XYVfcuxJ4x805zIWvJ17MA</t>
  </si>
  <si>
    <t>V3lQtk1LgwAEcF9j-BzchA</t>
  </si>
  <si>
    <t>ExhhNpUulh2Yjog-nb6O7A</t>
  </si>
  <si>
    <t>I'm from Chicago so I'm picky with my pizza--this place does it right (NY style)! I love the "hole in the wall" feel. Every customer that walked in was a regular which was a good sign. I ordered the Mozzarella sticks and a large Monster Pie (Sausage, pepperoni, bell peppers, onion and cheese). The mozzarella sticks took a little while to come out but they were cooked to perfection. They also threw in a few garlic knots which was awesome. The pizza was unbelievable--I think the crumbled sausage really did it! They have great deals like large pie &amp; 20 wings for $20 which I definitely will be taking advantage of during football games on Sunday. Glad to have found a new place where I can also be a regular!</t>
  </si>
  <si>
    <t>LZxnr-c-VsG0N4Ef-9iAyg</t>
  </si>
  <si>
    <t>F1I_TEBT4Wpj0eDsoXKk3w</t>
  </si>
  <si>
    <t>BswsfdATKn9m2EiT-2_MZg</t>
  </si>
  <si>
    <t>Very polite staff. Did not wait very long to be seen.</t>
  </si>
  <si>
    <t>efZh8TKpCz5AJTcuAnBxRA</t>
  </si>
  <si>
    <t>wl51t6lT7leiX64SlkOx6g</t>
  </si>
  <si>
    <t>tCps1BXBR4ZUOF-uTxUBMw</t>
  </si>
  <si>
    <t>Other than the really great happy hour prices, its hit or miss with this place. More often a miss. :(
The food is less than average, the drinks NOT strong ( at least they are inexpensive) , but the service is truly hit or miss.
I'll pass.</t>
  </si>
  <si>
    <t>WgdgOlb-OIwKxb1p4xWwRA</t>
  </si>
  <si>
    <t>R3UFldNkrGqOsDgD_cw6bA</t>
  </si>
  <si>
    <t>Qp7lu-oy_cLz71bjLgpNjA</t>
  </si>
  <si>
    <t>Yes this is a chain but after traveling in Maui for a week and then coming back home to Kahlua Pork from Rumbi, I can honestly say that the Kahlua pork here is better than any of the places I ate it at in Hawaii. Crazy huh? The Kahlua pork at Rumbi is so moist and tender and when its paired with some of their magnificent teriyaki sauce and Rumbi rice (rice cooked with coconut milk and beans), it is out of this world. The Kahlua pork plate at Rumbi has lately been the first meal that comes to mind when I want comfort food. This is a bit of a problem cause that is normally on a work day during lunch and after eating a meal of pork, rice, mac salad, and coleslaw, I am just down right exhausted and in dire need of a nap. 
I used to come here quite frequently but forgot about this place and I am not sure why. Besides the Kahlua pork and Rumbi rice, I can say that their mac salad, sweet potato fries, and their beach burger are really good as well. If you are looking for something different, yet tasty and satisfying, try Rumbi. I think you will enjoy it.</t>
  </si>
  <si>
    <t>mlBC3pN9GXlUUfQi1qBBZA</t>
  </si>
  <si>
    <t>35uDzLpJlbSztgkJLtg1kw</t>
  </si>
  <si>
    <t>jUlDw4GmEsdv8mHqJ3wFfQ</t>
  </si>
  <si>
    <t>I like coming here when I want to pretend to read and then do some grocery shopping.  I say pretend to read becase, invariably, I start eaves dropping on people seated near me.  Usually these people are either a) real estate professionals on a lunch meeting or b) families with small children who are saying ridiculous things.  I've also run in to a guy my friend used to date while he is on a date... that was pretty strange.  I like their salads, the breakfast sandwhich with feta, and the portobello sanwhich (on ciabatta, not the recommended bread).  I am in love with the sweet potato sandwhich, but it is huge.  I recommend ordering a half or sharing it... even then it is a lot of sandwhich.  A scone will fill you up for the entire morning and afternoon. 
My mom requests a trip to "the place next to the cool bookstore"  whenever she comes to town.  (p.s.  the cool bookstore is Changing Hands... and I agree with my mom -- it is very cool.)</t>
  </si>
  <si>
    <t>b60JsTGYbVqUGYbI81aOsw</t>
  </si>
  <si>
    <t>NKSA0em3dHSGTyo6Eu-Waw</t>
  </si>
  <si>
    <t>b6hHEpYexHQ6LNhDLJ8Efw</t>
  </si>
  <si>
    <t>Service was faster than some of the other (but better) Indian restaurants I have been to in the area. The food was so-so. Nothing special. I enjoy spicy Indian food, but the "hot" was not. The only reason we ate there was the buy one get one free in the Phoenix area coupon book... no that, was a good value.</t>
  </si>
  <si>
    <t>YPk47NcyWSkk-541OxyzMQ</t>
  </si>
  <si>
    <t>qyzPbUwY_QgqdEputNWk6g</t>
  </si>
  <si>
    <t>Perhaps it was foolish for me to give La Condesa only four stars at first, given the fact that I really liked it.  What can I say?  I'm critical by nature.  I knew I was going back soon, so I felt like I had to save the last for a return visit.  Well, it just got it.
This place is fantastic.  In fact, if CenPho lets this one go under, I will personally hold all of you responsible; watch out for a citizen's arrest if I ever see you.  However, that is unlikely to happen, because the food is damn tasty.  
Today, the Oaxaca black mole chicken taco had me swooning, topped with pickled onions; the chicken is tender and simmered in the lovely sauce.  The Soronan carne asada taco, char-grilled over mesquite charcoal is no slouch either; I'd rate it right up there with some of my favorites in town.  
Go to this place; I have a feeling I'll be here at least weekly.  When and if they ever get a beer/liquor license...probably more.</t>
  </si>
  <si>
    <t>dQO0tQISZyb9L4d5ASnXyQ</t>
  </si>
  <si>
    <t>St3jS0PnF1lulH1ggA4Jgw</t>
  </si>
  <si>
    <t>VyAIpPxEpMO581PoRB5G6A</t>
  </si>
  <si>
    <t>Great place for brunch or to relax with a coffee. Their hot chocolate is amazing.</t>
  </si>
  <si>
    <t>UHxBIipD-7xb60CGB8rOuQ</t>
  </si>
  <si>
    <t>t5Hxl0agkS7p3vDnbl3Yyg</t>
  </si>
  <si>
    <t>I have been through plenty of airports around the world and I have to say that this one is on the better end. It is easy to navigate, clean (from what I have experienced), and makes getting to and returning rental cars a breeze. 
As in most airports, those who are not used to recent travel REALLY hold up the security check line. I would think they would want to be prepared and get through that check as quickly as possible and I held my breath when one young lady came back out in search of a 1 quart zip lock bag, fearing that we would have to evacuate the terminal for her breech, but we were all able to make our flights. 
A word to pet lovers who insist on traveling with their four-legged friends: allergies and asthma plague a large number of people and difficulty breathing caused by YOUR pet presents an unexpected glitch in their travel day. 
PLEASE CONSIDER LEAVING YOUR PETS AT HOME. An unplanned trip to the ER as a result of YOUR inconsideration should be YOUR responsibility. What do you say about that, health care providers??? 
In all my travels, this has been the only time I have been stuck behind the hairiest cat I have ever seen in my life because its owners had more baggage than humanly possible to manage. Clueless to others distress as the owners, their pet left wheezing, sneezing, itching, gasping travelers in its wake. Are you from Naperville?</t>
  </si>
  <si>
    <t>gYIHSsoa260H544x9guLOg</t>
  </si>
  <si>
    <t>MLPUSpkbWAvr9gJOELKqmQ</t>
  </si>
  <si>
    <t>hQUn4oL-6qnjma8indhLNw</t>
  </si>
  <si>
    <t>Went here for the first time a few weeks ago. The owner was snoring when I walked in, so that was odd and kind of a turn off. Their regular manicures are cheap- $10, but the experience overall was so-so. It got busier as my manicure was going on, so it got a little better. Parking is pretty bad..they have approx. 3 spaces. Manicure was fine..have a range of OPI but all their polishes were jumbled together which I hate. Overall, for a few dollars more there are better places, even down the street.</t>
  </si>
  <si>
    <t>nH0YyEYTE7RMeAbeERrSQA</t>
  </si>
  <si>
    <t>zDfaNgSYLn-TwquB5A6AaA</t>
  </si>
  <si>
    <t>1xrgXladKl8ukUsiyVU_kA</t>
  </si>
  <si>
    <t>Been here for many years but have seen a recent decline in quality service. Felt scolded by the bartender today at lunch. Felt disrespected as a customer. Service sucks stay away. "bad service = bad review"</t>
  </si>
  <si>
    <t>pRw80rCPUTcBo2Zv5De1yQ</t>
  </si>
  <si>
    <t>NN2qs5B713vM6BDcMyrg4A</t>
  </si>
  <si>
    <t>LFKXrB40LfFd16xtSuy7MA</t>
  </si>
  <si>
    <t>Hands down the best breakfast I've ever had, anywhere. It definitely feels like home cooked breakfast. I've never been to this place on the weekend when it isn't packed out the door. I'm not the only person that loves this place!</t>
  </si>
  <si>
    <t>ho4Te6bO2tGs56h9PF2vuA</t>
  </si>
  <si>
    <t>WaXjxD6QcMBQQGOMnlGiYQ</t>
  </si>
  <si>
    <t>This is simply a poor substitute for the Los Dos Molinos in South Phoenix.  It is a pale shade of itself.  The salsa is spicy, but it doesn't have any of the same excitement.  I think its partly the downtown location in a strip mall, (not that 98% of restaurants in Phoenix aren't in strip malls).  But the Mexcian Pizza and Chicken enchiladas just didn't have the same loving kick and spice.  When you are craving Mexican downtown, this'll do in a pinch.  But make room and time to head out to the original deal, the one with 5 alarm salsa and huge patios.  Margaritas the size of one's head and bring a group of friends to indulge!</t>
  </si>
  <si>
    <t>vhxFLqRok6r-D_aQz0s-JQ</t>
  </si>
  <si>
    <t>sjCRI-lCh4KLO_RYQdlEeQ</t>
  </si>
  <si>
    <t>Went there for a second time on Sunday.  The first time I came, I was underwhelmed.  I think the problem was that I went with only one other and this time I came with 5 others.  It was a beautiful Sunday afternoon and over pitchers of Sangria ($20.00 specials on Sunday) and copious amounts of food I rediscovered the restorative quality of good food and great friends.  Had serrano ham and manchego with quince paste, pollo colonial (my favorite), lamb with mustard and mint, pan con tomate, quail with lentils and chicken drumettes.  With the exception of the drumettes (which tasted like overly fancy buffalo wings), the rest of the food was exceptional.  Small portions, yes.  A smidge pricey yet, but the communal feeling of being with your good friends in the open air sharing vino and small plates is priceless.</t>
  </si>
  <si>
    <t>uL_kqSm8ZqJ_3U88uwA8tw</t>
  </si>
  <si>
    <t>CVFQy_w2RKrMA7TtPM0EQA</t>
  </si>
  <si>
    <t>This place is fantastic!
We went in on Sunday the 29th of July around 5:00pm. The guy behind the counter told us to enjoy ourselves, take our time, ask if we had any questions. We wandered around for a bit, I found a bottle of Argyle bubbly that I wanted, and then began to stare with lust in my eyes at the selection of Absinthe. 
Girlfriend wandered over to ask the guy to recommend a white that wasn't a Chard as we both really don't like buttery oak anything. He took a few cues from her, and found a great bottle of white which we drank with great glee last night. 
This was a test for the guy behind the counter. She didn't set a price limit, just said "show me your favorite." He could have done what many others have in the past and shown us a $50 bottle, but instead he showed us a kick ass bottle at the $14 price point. This is the mark of a good wine seller. Find you what you want without bending you over on the price. Yes, sometimes I want to spend $400 a bottle, but not all that often. I'd rather get my drink on at the price he found, and he turned us onto a white we both REALLY liked, which is super rare as we have very different tastes.
We'll absolutely be going back to buy more fermented grape from this place!
Prices are on par with Total Wine, but what you're really paying for is the help of someone who knows what they sell and likes their job. Great job Sportsman's, see you next Sunday for afternoon drinking!</t>
  </si>
  <si>
    <t>W7zmm1uzlyUkEqpSG7PlBw</t>
  </si>
  <si>
    <t>uzETXY35sIROqx6nnGuq-A</t>
  </si>
  <si>
    <t>OQjK5jYwSzoyUvOt1kEyPw</t>
  </si>
  <si>
    <t>I'm torn.
I LOVED my $20 facial. I'll probably go back for more once Groupon and the like run out of deals.
However, I also got a brow and eyelas tinting.  I wouldn't recommend that service from here.  My brows were uneven, and my lashes faded out quicker than normal.</t>
  </si>
  <si>
    <t>bkRfY8jHdFxf7k8vLX4buA</t>
  </si>
  <si>
    <t>06kfoeRs9Acj82Yl3i9p_w</t>
  </si>
  <si>
    <t>g0PIxO362sPzzvoYXNU4KQ</t>
  </si>
  <si>
    <t>Recently moved back to Mesa, I have been on the hunt for a place to get a good sandwich and fresh bread. This place now tops my list of places in the East Valley to get a good sandwich. My first sandwich was the Atlantic Haddock Provencal. A sandwich made with seared, lightly breaded haddock, sliced hard-boiled egg, fresh basil, romaine lettuce, tomato, Provencal tartar sauce on a grilled Brioche roll. The brioche was amazing. It was light and fluffy. The haddock was perfectly cooked with just the right amount of breading, and the vegetables were fresh and in perfect proportions as to not overpower the bread and haddock. Sometimes when you go to a sandwich shop they overload it with everything else that the meat and bread are just there to accessorize the vegetables and sauce. This was perfectly done. The atmosphere is pleasant and open with nice music as the light smell of fresh bread in the background salivates me. This is a must-visit lunch time destination. Dinner review shortly.</t>
  </si>
  <si>
    <t>kxfUWPT6PuwieZHonfXtLw</t>
  </si>
  <si>
    <t>SMpL3z4FLF07bRA6-y22JQ</t>
  </si>
  <si>
    <t>2bPgTaY62Jc_FoTtXz35lg</t>
  </si>
  <si>
    <t>What a wonderful night. It didn't start out that way. I found this restaurant on yelp, not realizing that it was sixteen miles from the hotel my wife and i were staying at. I heard the grief all the way there. "Come on honey, it's an adventure!". 
We arrived, and were greeted warmly and shown right to our table. Zach, our waiter, was right there to offer us drinks and appetizers. We had the Summer Rolls and they were delicious! 
I explained to  Zach that I was allergic to wheat and he brought us a special "gluten free" menu the owner had created for those of us who are allergic to wheat. Zach even brought us some special wheat-free dipping sauce for the Summer rolls. He showed great care, provided great customer service,  and the sauce  was delicious!
The portions were good sized and the presentation was beautiful. But the wonderful tastes and personal service made the night special. Oh, the bathrooms were clean too. Thanks Zach, and thanks Malee's. It was a great night my wife and I look forward to repeating. (Yes, she admitted after dinner that the drive was worth it.)</t>
  </si>
  <si>
    <t>7a_7iT6nDMQc76bz3-TQwg</t>
  </si>
  <si>
    <t>ht17atGW3tP8dFeiJkXI_g</t>
  </si>
  <si>
    <t>E7R_HyDkf4r0zVEuWxQl7A</t>
  </si>
  <si>
    <t>I met up with a few ladies here for drinks a few weeks back at the suggestion of someone else. We didn't end up playing pool, just enjoyed our drinks at the bar before moving over to a table. We were definitely over dressed and probably out of place, but it was a chill place to let loose. Drinks were okay, food was nothing outstanding, prices were to be expected.</t>
  </si>
  <si>
    <t>6OWHDbEq23f24Vki_veHBA</t>
  </si>
  <si>
    <t>EXmWz2eaKTGNIf3FJUlVZA</t>
  </si>
  <si>
    <t>PE4ueS5NlXcBw4Ixb8G0hA</t>
  </si>
  <si>
    <t>I am a way more frequent visitor of the bell rd location, but sometimes I have to travel downtown for work. When I do, I make my route pass by this place because I have to have dutch bros.  The guys at the bell location are pretty familiar with me by now but these guys still treat you as if you are there best customer. And it's the best coffee I've ever had.</t>
  </si>
  <si>
    <t>Mex8qXT7nR89uTKX_qtgSA</t>
  </si>
  <si>
    <t>TdNIQQcfslKjkey4-yAlKg</t>
  </si>
  <si>
    <t>fQwfcdBJb1tf7JRTRE5EDg</t>
  </si>
  <si>
    <t>Even more great news....on Tuesdays there is a special of 35c per ounce. Not that I needed another incentive...but this is GREAT.</t>
  </si>
  <si>
    <t>0ouMuScWJ3GuNtWEmmsziw</t>
  </si>
  <si>
    <t>NN9dbEZF_c4YNgfWWAEVig</t>
  </si>
  <si>
    <t>a0YtahC0ZWer56OPruJA-A</t>
  </si>
  <si>
    <t>Been there, done that.  Fair sandwiches (better than Safeway, anyway).  Only 2 stars since I didn't know about the free soft serve, so didn't get to try that.
There's gotta be a good New York-style deli west of the 17 and north of Thunderbird.  Isn't there?  Doesn't have to be great.  Good would be wonderful.</t>
  </si>
  <si>
    <t>ETIAM78kYT_xPM8b2iqi7g</t>
  </si>
  <si>
    <t>oyzxIqrtzu-8sWlPhJVsLw</t>
  </si>
  <si>
    <t>3R_6Havc78W_IWkOhK1Liw</t>
  </si>
  <si>
    <t>Where to begin?
This is my favorite Mexican food establishment ever. I've been frequenting Carolina's for years and never once have I been disappointed. Some might compare it to Filiberto's or any of those [insert surname here]berto's but this is on a whole different level.
Atmosphere-wise it's one step above a sketchy hole-in-the-wall but the food makes up for everything the appearance of the place lacks. I don't know their secret but their beans, the tortillas, the salsa... it's all to die for. And IT'S. SO. CHEAP. Like, seriously, I'd dish out more money for this food but the fact that it really is that cheap is the icing on the cake. 
It's almost always busy but it's always worth the wait. Always.
If you haven't gone... you're missing out.</t>
  </si>
  <si>
    <t>SlCfUUr1Pa7CzzSxbMH1pw</t>
  </si>
  <si>
    <t>qMkIbQFrROSnPaQ7at85-w</t>
  </si>
  <si>
    <t>uCdLSQa-bH_aYM-5DNuQJQ</t>
  </si>
  <si>
    <t>I just got back from an Arizona spring training vacation, and one of the highlights was definitely the Desert Botanical Gardens.  We came really close to skipping on a visit altogether because it was 5:00pm, but decided to give it a shot...it was worth it!  I was a little disappointed that the Butterfly Pavillion had closed for the day at 5:00pm, and several walking areas were being used for weddings/receptions (who could blame these people??) but still got to see a lot of beautiful desert plants and wildlife.  We managed to get in for free, not sure if it was because of the time of the day or all the people just walking in for the weddings though, which totally made the park that much more fun.  I am not sure I would have gotten as much enjoyment out of it if I'd had to pay $5 to get in...
The little desert rat-sqirrels, and rabbits were totally fun to try to find hiding in the many different plants and burrows.  I felt like a little kid ooh-ing and ah-ing at the different varieties of cacti and desert wildflowers, and have to give this place the ultimate rating .  If you're ever in Arizona, please give this place a try, it's very well put together and a beautiful site to see.</t>
  </si>
  <si>
    <t>dxPBchN0OnHTENctEUm7NQ</t>
  </si>
  <si>
    <t>V4wiGd78Si52Gys9gmoZCg</t>
  </si>
  <si>
    <t>WB_tV05UYyBO_EC0oTIXCw</t>
  </si>
  <si>
    <t>Meh....decent Filibertos knockoff but the place feels like a major health hazard considering how new it is.
Just think Filibertos with less quality control and smaller portions.</t>
  </si>
  <si>
    <t>OPStKHloEOVxcBtFgkzh2A</t>
  </si>
  <si>
    <t>HGOsJ1-GXCk5_8RmwKxomA</t>
  </si>
  <si>
    <t>RSwZ_b5xV9ovGXTX3mux_w</t>
  </si>
  <si>
    <t>eewh! yuck and wtf!?
This Barnes &amp; Noble Book Store sucks for sitting back, relaxing and trying to read. I know it is not a library, and I don't expect it to be. But, come on - you can at least have some sense of trying to keep the noise level down and have some cozy seating. 
And... Yikes! The people here are gross. They had some couch-chairs to lounge in and they were - in all of their grossness. And they were reading magazines of all things. WTF buy it and go home and let your kids do kart wheels there. EEWH!
Then, those of us who actually purchased books and were trying to peacefully read them were in the cafe' - sitting on their dirty wooden benches - where I guess the servers there think that part of theirs jobs in serving coffee is to do a drum solo every time they empty the used coffee grinds into the trash can - which was about every 5 minutes. Yeesh! Luckily, I had my iPod. It was blasting and I still could hear them banging away. It was not a very cleanly area either. 
I was going to ask if they had wifi but I just high-tailed it out of there instead. This place is small too and their book selection is limited.
I have been looking for a place to go to read, work and drink some coffee in my area (Arrowhead) and this one is definitely crossed off of my list. 
Come here to try and find a book but don't come expecting to kick back and enjoy your novel or what have you. If you like people watching though, this may be your place. There are all kinds here.
PS: and I left my fav coffee mug at this crappy place - like I will go back and get it. I think I would burn it first - bummer!</t>
  </si>
  <si>
    <t>nZ9XFVETN4hxdK4qPb-T3Q</t>
  </si>
  <si>
    <t>NCbHGtOP5yJBJsPPaE3X5g</t>
  </si>
  <si>
    <t>GXhCVzS14jGRpwusofxFIw</t>
  </si>
  <si>
    <t>Being Indian, and having grown up in London, I have been pretty spoilt for Indian food. Imagine my dismay when I moved to Phoenix! I've tried many different places here in town desperately trying to recapture the memory of a good London curry house but each time I've left either disappointed or clutching my guts fearing what may come.
Couple of friends introduced me to this place a few months ago and I'm stoked. It's not as good as the stuff back home. And I'm sure you can get better in San Francisco or New York. But if you are looking for something closer to home you can't go wrong.
Plus its got the real live Indians eating in there too. Can't be bad!!</t>
  </si>
  <si>
    <t>3sJ62Mkavx69FBec71agYg</t>
  </si>
  <si>
    <t>MUsqPXthMdHoPEow9M3MfA</t>
  </si>
  <si>
    <t>EuC1SHR55UGShkq3iovTEQ</t>
  </si>
  <si>
    <t>This place is not there anymore.</t>
  </si>
  <si>
    <t>VBEbhE0ISjg6xowGNiGmgQ</t>
  </si>
  <si>
    <t>7XulXhz9PN2ctxtv0B0b7Q</t>
  </si>
  <si>
    <t>M0sPPYqC8ZDESo7HeJgC-g</t>
  </si>
  <si>
    <t>Gaylee is great! She is super sweet and so professional! Her work is amazing. I found her through one of those online deals and now I am convinced that I will never go elsewhere. Keep up the great work!</t>
  </si>
  <si>
    <t>33T-R7e8y7st0PA2HRyHnw</t>
  </si>
  <si>
    <t>cgNIBHS2mLdbTRiodAT6EQ</t>
  </si>
  <si>
    <t>ZqzBvizyfGpzfiveEsgZ8A</t>
  </si>
  <si>
    <t>No frills.  Nothing fancy.  Just some honest burritos and tacos.  Voted "best taco" by New Times a few years back (in the 90's).  Not sure I agree, but they consistently satisfy.  They make a hearty breakfast burrito too.  If you're looking for Sonoran or Tex-Mex or anything beyond what you might find at Filiberto's, try somewhere else.  The red burro combo is my personal favorite.  It's saucy (enchilada style) and just spicy enough.  Bottled beer available.</t>
  </si>
  <si>
    <t>1uTS7hrpgphH7ZDK8EThzw</t>
  </si>
  <si>
    <t>nY2QBNMEfT3j68j-DHOGyg</t>
  </si>
  <si>
    <t>ENbvrftx0kvaDfrR1mchSA</t>
  </si>
  <si>
    <t>Went here this morning around 10 am. There was like a 20 minute wait, but no biggie. Service was fast, orders were fresh and correct, and place was clean. It is the Waffle House, not a fancy joint. So for what it is, it was good. Plus the staff are all very easy going and create a fun lively atmosphere. Good for a casual breakfast.</t>
  </si>
  <si>
    <t>QdypppSRw2H5UtMu1IebLw</t>
  </si>
  <si>
    <t>2ceeU8e3nZjaPfGmLwh4kg</t>
  </si>
  <si>
    <t>iDujx3HhzFt3mv4KPay6eA</t>
  </si>
  <si>
    <t>Where do I begin? I love Casey Moore's!
What a great ambiance! The outside patio is where it's at, with tons of seating and misters. Lots of beautiful decorations to stare at while you're waiting for friends to arrive, and the staff as well as fellow patrons are always very friendly.
When I feel like getting in touch with my hippie side I go to Casey Moores, because I can always expect to find someone outside painting a work of art, or photographing the wandering cats (yes, they have cats! they're well-fed and happy). 
It gets pretty busy after 5pm, but the good news is that if you arrive before 5 you can bring your pets and stay all night. I bring my dog in all the time, and she is always met with animal lovers who didn't know they could bring their pets.. so now you know!
The oysters are good, but if you're eating them out on the patio the heat kind of kills that deal for you. I had never tried oysters before going to Casey's but they are surprisingly tasty and comparatively better than other oyster houses.
If you're feeling pretty ballsy, go pee on the Blarney Stone! Every time I go there I wish I was a man so I could do it.</t>
  </si>
  <si>
    <t>px6RIT_CcE2Z1Jd52C8TQQ</t>
  </si>
  <si>
    <t>u3HMalNH-xBgZUXjnH3O6Q</t>
  </si>
  <si>
    <t>Z67Znbe5riZE4YISO45XAA</t>
  </si>
  <si>
    <t>Rarely do I give a 1 star rating but after four attempts in four months to get my fax line and internet rolling I can honestly say they have earned this.  After finally showing up for a scheduled appointment the tech told us our internet was fine but we disagree because we are getting the same speed we had with Qwest in Cave Creek (SLOW)  and they are charging us $64 a month for what they call the upgraded 20mbs.  Furthermore, I tried to send out a couple faxes after he left and the line is not responding.  Im going to drive down to the store tomorrow and demand that they remove the fees for service I have not received and just get efax.  As I noted in the first review we were excited to upgrade to faster internet so that makes this experience even worse.</t>
  </si>
  <si>
    <t>QnMPMD8Nh3ErZGfMRGAeYg</t>
  </si>
  <si>
    <t>qecLHHzAwgkkeA1bG81vmw</t>
  </si>
  <si>
    <t>kPS5PRqkwDpJx_bpDx9lCg</t>
  </si>
  <si>
    <t>Service was good, however my fettucine alfredo with meatballs was just OK. I would pass on this menu item the next and try something different.</t>
  </si>
  <si>
    <t>8q2pilNlC3_mTfyDzp0TiA</t>
  </si>
  <si>
    <t>vA8T8QXh78iSXhxShLNgQA</t>
  </si>
  <si>
    <t>DWq3femFL-muAUB6lMBQDA</t>
  </si>
  <si>
    <t>So, I went because of all the hype. Immediately, realized how overrated it was. The ambiance is like a Chilis but trying to be mexican.</t>
  </si>
  <si>
    <t>zFfXgANzhIcD-JkdBygcZQ</t>
  </si>
  <si>
    <t>K2_Hmmo5crTYWiT_1sWnfQ</t>
  </si>
  <si>
    <t>FSrIgThMfFIh__TubVQkxw</t>
  </si>
  <si>
    <t>Ok, so I'm catching up on past-due reviews.  For me, Chipotle is one of those places you go to when you want something to eat from critters that have been decently treated while giving their life for your enjoyment.  And the food is ok too.  The guacamole is always fresh, the burrito's are big and there are lot's of add-ins.  Just don't expect any gustatory excitation, it's pretty basic, non-threatening, and I think I heard somebody refer to it as gabacho mexican food.  I think that pretty well sums it up.  However, a big plus is that the iced tea is always fresh and all-you-can-drink :-)</t>
  </si>
  <si>
    <t>NBwPgX7L2D-EZedgo3A-pw</t>
  </si>
  <si>
    <t>roMeHsyf55-_O7rpudBbZA</t>
  </si>
  <si>
    <t>Gils.. A relatively new business to the complex on 16th St and Bell Rd. 
Gils is NOT your average Mexican Style food. It is New Mexican Style. They use whole beans, no lard and light on flavor. The rice is not orange but more of a yellow with hints of garlic infused. The burritos are covered in red or green sauce, which can be a hot or mild depending on the crop. 
I had the pork Carnita's burrito topped with green sauce. Beans and rice. I would have been disappointed it I expected smashed refried beans too. BUT I love the beans as they are. They are sort of like a ham hock style bean. The carnitas was wonderful and huge. filled with pork and not a spec of fat in it. Topped with cheese and Hatch Green Chilie sauce. Did I mention Huge? 
The whole meal including water and chips and salsa set me back $10 bucks. I even have a small lunch for tomorrow. The chips are homemade and the thicker type. The red salsa was spicy but not hot and green was good. 
The rest of the menu looked good, nothing stood out as a must have but I will be back. 
The place was clean and they made a nice patio outside, complete with waterfall and everything.</t>
  </si>
  <si>
    <t>VY_tvNUCCXGXQeSvJl757Q</t>
  </si>
  <si>
    <t>31mOjx2g1F2xAVi20JQP1g</t>
  </si>
  <si>
    <t>Good pizza. Nice and laid back. Good staff too.</t>
  </si>
  <si>
    <t>vpb5jICQEl6vT0NlHq1dug</t>
  </si>
  <si>
    <t>HvfefhU4b38wcSulkBzA1A</t>
  </si>
  <si>
    <t>a5WztkUFN4onrcG1NMoYuQ</t>
  </si>
  <si>
    <t>The praise and worship with Pastor BJ just sets up a God Filled service with the charismatic and awesome Pastor Maiden ... Going the Past 18 months has made our Marriage Stronger and Faith Magical</t>
  </si>
  <si>
    <t>hLi9rdbx4cXBklc4osQEJA</t>
  </si>
  <si>
    <t>4EeLblEpJc2VeBowa94YPQ</t>
  </si>
  <si>
    <t>RxwjDwQsSRE7flP6N4L4tA</t>
  </si>
  <si>
    <t>I come here probably at least once a week. The prices are right, there's a good variety of "ethnic" food, the cashiers are quick and friendly, and they're just helpful. I locked myself out of my car when having a space-cadet moment and they let me use their phone to call AAA to bail me out. 
Fresh flowers + great selection of wine and cheese + all the essentials 
They deal is that they cut out the middle man to get great prices for quality products and they don't have sales because they always sell their products at the best price possible. =) GO TJ'S!</t>
  </si>
  <si>
    <t>3H2ttTM2aSIaZ6FTjHwDQQ</t>
  </si>
  <si>
    <t>6wih8fh9hGHRCc4tk6U3ew</t>
  </si>
  <si>
    <t>I have only gotten the cafe sua da (iced coffee) here but it's the best I have had yet. When you walk in there is always fresh coffee lined up in cups on the counter ready to be mixed with sweetened condensed milk. I don't get to Mesa often but when I do I go here for the wonderful, rich, dark and creamy coffee. This is strong stuff; that first sip is so good. The richness, full flavor, creamy caramel flavors are heavenly.  And as the ice melts, it mellows out the flavor a little and it's still great. I can't say I have had all the cafe sua da in the valley, but what I have had; this is my favorite. 
Next time I come to Mesa for work I will need to come at lunch time so I can try the pho.</t>
  </si>
  <si>
    <t>UhryFhGe1tqdbBzAhdooTQ</t>
  </si>
  <si>
    <t>Gq092IH6eZqhAXwtXcwc6A</t>
  </si>
  <si>
    <t>DDt-wItJxXlzsErG2XE2mQ</t>
  </si>
  <si>
    <t>Only had a chance to experience the Oscuro (amber lager) and the pizza (the Arizona vs. Boston) so far but it's enough to make me want to come back and try more.
Lots of flat screens. Should be a great place to spend a Sunday afternoon watching footbal in the fall.</t>
  </si>
  <si>
    <t>bkPFUCENKOYFDit-eV2PSw</t>
  </si>
  <si>
    <t>pfTwzep_4hRTX_jXoi38cw</t>
  </si>
  <si>
    <t>RqwFPp_qPu-1h87pGBAM8w</t>
  </si>
  <si>
    <t>Hippies scare me.     So in my preparation to go to this place I ordered Xanax from an on-line Canadian pharmacy, which I have been taking for three days now.  Bought a tazer from Spy Headquarters in case one of them tries to hold me down and pours patchouli oil on me.  The fifth of gin that I slammed in the parking lot really helped with that last bit of extra courage that I needed to partake my journey into hippie-land.
It was all for nothing. No hippies around, just a teenager behind the counter.  This place is tiny and the counters are about at mouth level. I don't know how anyone under 7'6" could easily eat off of them.  
Anyways for $5 flat, you get a kick ass burger, a school lunch bag half full of well seasoned skin-on fries, and a can of soda.   It's true that the fries could have been a bit more crispy but they tasted so good I got over it real quick.
I'd be afraid to ask what the special ingredient is because they might say "it's organic, don't panic".  
Jerry's dead, but this place lives on.  Thanks hippies!</t>
  </si>
  <si>
    <t>sEWeeq41k4ohBz4jS_iGRw</t>
  </si>
  <si>
    <t>O7jDv3ntT_rsFrd7qPrC4Q</t>
  </si>
  <si>
    <t>In addition to the nice atmosphere on the patio they serve a very nice brunch menu and the $2 bloody marys are a buy. Downside: parking validation is only a discount, not a freebie. Depending on when you go the service can be slow. During a recent happy hour the barmaid herself was left to tend to all bar patrons and the patio.</t>
  </si>
  <si>
    <t>L9UYbtAUOcfTgZFimehlXw</t>
  </si>
  <si>
    <t>Z9XN4EZeGLnlMmuMvo_i8A</t>
  </si>
  <si>
    <t>Man, do I LOVE a restaurant with REALLY GOOD food and friendly service! Liberty Market is definitely that! 
Funny thing is that I was originally going to eat at Joe's Farm Grill, but ended up here (after a search here on YELP).
Nice laid back decor too.
You wait in line to place your order, pay, and they give you a stand with a number on it (like at Sizzler), then someone brings your order.
I like places that spend the time to make their own salad dressings and take care with creating a delicious salad. The Italia was DELICIOUS and a perfect size! The homemade Minestrone soup was loaded with fresh ingredients and was REALLY fantastic too!
I forgot to try one of their desserts...the last Red Velvet cupcake was ALMOST snatched up by another customer, but the Food Server was so kind to offer to get it to me (maybe I had a look of panic on my face??)...WOW!! This service is rare to find!
The restrooms are quite amusing! Saw a similar set-up in NYC. Each toilet/water-closet is individual...no stalls. They were VERY CLEAN too (ok, I was seriously apprehensive that it might smell like a men's restroom, since it was all unisex...no worries!!!!)
I can't wait to visit here again...but, after I check out their other place across the street: Joe's Real BBQ. YUM!</t>
  </si>
  <si>
    <t>CP-IE-zyc2Mv3jlaceElVQ</t>
  </si>
  <si>
    <t>UmhTiNOKareQDP7D9aAnKw</t>
  </si>
  <si>
    <t>csHak1d1uCU4oItf8d5MBw</t>
  </si>
  <si>
    <t>Great experience from start to finish.  Host (who was the owner) seated us at a table with a view.  Was given house made foccacia bread and olive oil.  Was awesome.  Some of the best bread I've ever had before a meal.  The olive oil was seasoned perfectly too.  My grandma got the burger and I got the pesto penne primavera.  The pasta came with shrimp, squash, and some other vegetables.  I love pesto, so this hit the spot.  Good serving size, but not too much.  The food tasted fresh.  They make their own pasta, which was delicious.  The burger was huge.  Looked like you get your moneys worth.  The ice tea was even good.  The place was clean and sleek.  They played good music and the service was perfect.  It has been a while since I had such a good overall experience with no complaints.  I will be coming back.  The host, who we later found out was the owner, was working that night and asked us how we liked everything.  I've said it before, but that is a rare and good touch for any restaurant.  Well done.</t>
  </si>
  <si>
    <t>XqU1PB0XWjcr3sUyZZGaWQ</t>
  </si>
  <si>
    <t>j0cGt8mCE42Q-obJkcfrYw</t>
  </si>
  <si>
    <t>hBg8uej4Ix74Vq5LLPuiOA</t>
  </si>
  <si>
    <t>Great customer service, competitive rates, and I always get a call right back from Jeff! Nice to have an agent who actually cares about his customers. I would recommend giving him a call.</t>
  </si>
  <si>
    <t>I5AcIAujn4X0fzjq-CTLBg</t>
  </si>
  <si>
    <t>hBHkHYOk_E-6EgObC6MTdQ</t>
  </si>
  <si>
    <t>Rfu5grIwYtiEQbbMZtGwTg</t>
  </si>
  <si>
    <t>We went to The Farm today for lunch to enjoy a picnic on such an awesome beautiful day. I had the Tuscan sandwich and it was awesome. I had expected it to be good but was surprised at just how enjoyable it really was. I'm sure sitting outside in beautiful surroundings on a perfect day helped with the experience. This is the prefect place for lunch on a beautiful day. My date was equally impressed so I'm sure I will be back!</t>
  </si>
  <si>
    <t>i0A-c2yoHySmFhRV2sDR1g</t>
  </si>
  <si>
    <t>1CNKe3H07sLu6rigOpAYsg</t>
  </si>
  <si>
    <t>yheuEeK2zj6HaNY5bAzhgQ</t>
  </si>
  <si>
    <t>Games- great.
Game prices- decent.
Food- Edible, but nothing to write home about.
Food prices- WAY too high for the quality.
Bar- Weird. The 1st bar Ive heard of that doesnt carry Baileys or some type of Irish cream liqueur.
Drinks- Meh, stick w/ beer.
Service- Also weird. Ive had the best service here when its crazy busy and the absolute worst when my friends and I are the only people to be waited on.
A good time, if youre going for games and basic drinks.</t>
  </si>
  <si>
    <t>X5GbNXY_nNoa_vTZDD0aCA</t>
  </si>
  <si>
    <t>QnAzW6KMSciUcuJ20oI3Bw</t>
  </si>
  <si>
    <t>GiGm00UCTSDwA0c7RhRDFQ</t>
  </si>
  <si>
    <t>I love the ambiance at Joe's Farm Grill.  It's great to grab your food and sit outside at one of the many picnic tables.  Stopping there with the dogs after an afternoon at Cosmo Dog Park is a must!  There is something for everyone on the menu, from gourmet burgers (all I have to say is fontina! Yum!) to pizza, to ribs.
It's also a great place to take out-of-state guests who just blew into town from one of those cold climates.  They are usually psyched to be sitting outside enjoying a meal during the winter without having a propane heater involved.  
Make sure you go for a walk on the grounds too.  It's very relaxing and a great way to work off a few calories!</t>
  </si>
  <si>
    <t>woXhdtL9ds78_mz8mOY4Vg</t>
  </si>
  <si>
    <t>pdxyZdnwltQXcu-kD5rpXQ</t>
  </si>
  <si>
    <t>kUw0d4RX-tp32zmP-XwkXw</t>
  </si>
  <si>
    <t>Screw Disneyland- Sephora is the happiest place on earth!  They have everything a girly girl or a girly guy could possibly dream of and then some! They have all the best brands in cosmetics, skin care and perfume and they're always adding new items to their extensive product selection.  To me, getting a gift card to Sephora is like having Christmas morning over and over again.  Everywhere you look there are sparkly blushes, lip plumping glosses, lash-extending mascaras and anti-aging face creams- what more could anyone ask for? I can understand why men might hate going into Sephora- but they do have some products for guys too- although not many.  As far as I know, Scottsdale Fashion Square is home to the only Sephora in Scottsdale, but even as great as it is, it still can't beat the one right on the strip in Vegas.  They're open really late and you can shop with a drink in your hand- what could be better than that?</t>
  </si>
  <si>
    <t>0CMz8YaO3f8xu4KqQgKb9Q</t>
  </si>
  <si>
    <t>yJr24Yy1K6bt2G9fX3_zPA</t>
  </si>
  <si>
    <t>T6x80EWBNGa6qzfCjSdMEg</t>
  </si>
  <si>
    <t>I loved this little slice of heaven.  Reasonable prices, tiny dining room, very personal service.  Pablo was laid back, but with only 4 couples in the small establishment, he did a great job of making sure we were taken care of.</t>
  </si>
  <si>
    <t>MZaI_6ffmE_XzjKnM62oFw</t>
  </si>
  <si>
    <t>OOCLVeqqMFfSnKa7liv0Kw</t>
  </si>
  <si>
    <t>d4tC0RRd0ldMNZHeIMbGuQ</t>
  </si>
  <si>
    <t>What a load of absolutely hideous, uninteresting crap.
Take every single one-star review written by Yelpers below, copypaste them here and you will have a far more eloquent summary of my feelings on this place than anything I can come up with.
I have no reason to ever come here. Certainly not free will. The one time I did come here I was forced to by a friend who was meeting another friend.</t>
  </si>
  <si>
    <t>17PPxx8RxjOUD_nQZ1aHEw</t>
  </si>
  <si>
    <t>LeBQ8Wc3BK_i_jPSbFpZHA</t>
  </si>
  <si>
    <t>1sn0-eY_d1Dhr6Q2uoFCgg</t>
  </si>
  <si>
    <t>Had the enchiladas - cheese and shredded beef - and some mini chimichangas which were both good. Salsa is fresh and tasty. Friendly service. Will be back next time I'm in Florence!</t>
  </si>
  <si>
    <t>RCmBxcE6ld-ANzEAS6yeUA</t>
  </si>
  <si>
    <t>ke3RFq3mHEAoJE_kkRNhiQ</t>
  </si>
  <si>
    <t>W2E-KyisRMC5fuih1AjTlA</t>
  </si>
  <si>
    <t>I found this place when we needed a place to meet for a business lunch.  I had the smoked BBQ chicken which was good but that seems to be all I get when I go.  I've tried some of the other dishes but haven't really liked them.  My wife loves the fried pickles which I'm not a fan of.  The portions are huge but there does not seem to be anything special I can remember besides really large portions.  I suppose the biscuits topped with sugar smothered in honey butter are good but I also want to live to be at least 50 and they are not worth dying for.  As unimpressed as I am with the food, the service is very good.  I've been there a few times now and have always been pleased with they way they treat us.  Everything from the speed and attentiveness has been good.</t>
  </si>
  <si>
    <t>lAngRi4lwBIHmjCBVLd-8Q</t>
  </si>
  <si>
    <t>INgYGonM78YMB-5vpfoPQQ</t>
  </si>
  <si>
    <t>AZ-88 is at once chic, urban, fun, and just enough Scottsdale without making me want to stab myself in the face, as a t-shirt-and-jeans-wearing, overweight guy.
You'll first notice the atmosphere, and with good reason--it's perfectly lit, with noticeable but not mind-numbingly blaring music, and even better, they have a live DJ who goes through no small trouble to beat match and keep things rolling throughout your Wednesday-Saturday evening dining experience. When I first hit AZ-88, it had an enormous deconstructed NY taxicab suspended from the ceiling which was a fantastical conversation piece. The wall behind the bar was completely covered in names and numbers. (I was far too proud when I accurately guessed that they were the names of cabbies and the numbers were their license numbers.) Overall, a very different, fun look.
Comfortable chairs and very full cocktails abound, and while they typically have a rock-steady delivery, more than a little cosmo has ended up in my friend's purse, to her chagrin. That aside, the food is fantastic and even though it's a bit hard to get out of here for under $30 per person (because you simply must try the cheesecake, and drinks are pushing $14), it's worth it as a classy-but-casual night out that you can really enjoy.
They have a great patio, the burger is dripping with flavor (and, in fact, cheese), and they have waffle fries with pretty much everything. Great salads and sandwiches help round things out, and they ship their cheesecake in from Carnegie Deli in New York which is just about the most perfect cheesecake you'll have the good chance to try. Forget that Cheesecake Factory nonsense, these people know how a cheesecake is done. It is rich, thick, with just a hint of sour, and an amazing flavor that takes your tongue hostage and demands whipped cream ransom.
Overall, a wonderful place for drinks and good food with friends, and the staff is pointed but efficient and will throw back any shit you give them, in good humor or, as appropriate, not. (We've never run afoul of that rule, but you wouldn't want to, I assure you.)</t>
  </si>
  <si>
    <t>Snp5LyDO9NeQiuFPOlkavw</t>
  </si>
  <si>
    <t>Ri6D23gr3_WqLgcZL6ttqg</t>
  </si>
  <si>
    <t>Sugar bowl ice cream is yummy but what ice cream isn't? let's just say if one day I was craving ice cream, I wouldn't think of coming here specifically for theiiir tubs. Very average stuff.. similar to Breyers/ Dryers. 
What I diiid like was the price, their abundant seating area and location (=</t>
  </si>
  <si>
    <t>df0YRtus3XaN64pzs8iteg</t>
  </si>
  <si>
    <t>21Nfgtnns8gZuzNfg7c_QQ</t>
  </si>
  <si>
    <t>Great place for lunch, transport yourself back in time to this quaint farm grill which offers high quality food, fresh ingredients, killer burgers and an atmosphere that is one of a kind.  Good place for breakfast as well.  Family owned restaurant goodness.  Only drawback is the line, however good things come to those who wait.</t>
  </si>
  <si>
    <t>uzWTAgkONAZd5NrfP9XXlQ</t>
  </si>
  <si>
    <t>E4b5OC_6mZ0V7B6Nyjncsg</t>
  </si>
  <si>
    <t>VdD-2K_izVXf9nd912TkXg</t>
  </si>
  <si>
    <t>My girlfriend liked this place more than I did. It may be that I'm spoiled by eating asian food in the Bay Area, but this place just didn't cut it. Unfortunately we both got red curry based dishes, so my experience was fairly limited... I got Duck w/red curry, and was not very impressed at all. The duck was tasty, but the curry was VERY bland. Honestly had I not been told it was curry, I wouldn't really have identified it as curry. The duck came with some plain steamed vegetables on the side, which as the meal went on, served to further water down my already bland curry sauce as the veggie water moved around on the plate. In addition to the curry lacking flavor, the vegetables really needed a boost as well. They should have been stir fried, or been served with a sauce of some sort. 
The service was OK, but not great. There was only one other table in there, and the waitress seemed to forget things, and when we asked her about the meals, I felt like she was giving us canned answers of "everything is good, just order something so I can go home". Admittedly it was about 30 or 45 minutes before they closed, so that may have had something to do with it. 
It wasn't a BAD meal by any means. It accomplished the goal of providing nourishment, and was better than bringing mickey D's back to the hotel room, but I won't be going back. The yelp definition of 2 stars is "Meh. I've experienced better", and I think that description fits my meal perfectly.</t>
  </si>
  <si>
    <t>Exx5ffvnmk4MrTyCkPRuug</t>
  </si>
  <si>
    <t>2YfYYOjwd_yOHxEuv-9Sqg</t>
  </si>
  <si>
    <t>Other then the chips and salsa (5 stars for salsa) the food is good, but not so much that I go out of my way to eat there. The fajitas are delish, with mushrooms and the meat always tender, but the price makes me cringe. At over $20 there are so many other places I rather eat. I usually opt for a cheese crisp with green onions and green chilies and a side of guacamole (which is always yummy but pricey) and I still pay for all that $15 plus what ever we are drinking.... I love the overly rustic atmosphere, but it really could use some updating and maybe a good scrub.... Some of the servers are not the friendliest, but these are mostly the family that work there and have been there forever, so don't take it personally....
But overall it is a Scottsdale landmark that is fun to bring out of towers to and the food is overall good.</t>
  </si>
  <si>
    <t>BtQVxFotHFK3T2FtIrBWmg</t>
  </si>
  <si>
    <t>RqbSeoeqXTwts5pfhw7nJg</t>
  </si>
  <si>
    <t>gjtWdiEMMfoOTCfdd3hPmA</t>
  </si>
  <si>
    <t>Man, if these guys were trying to replicate a gringo bar in Mexico down to every last detail, then they have it absolutely nailed. Sorry to ruin the mystery of the name. The building itself is a spectacle-- a brightly colored fusion of indoors and outdoors with a few different bars, games like the beanbag toss and televised sporting events in every direction, music blaring, a room dedicated to Elvis, and more Chuck Norris jokes than you can count plastered across the walls along with a bevy of posters advertising drink specials. A line of blue footprints painted across the concrete floor leads to the men's room, dollar signs to the ATM... genius stuff, really. It wouldn't have been at all out of place were they to have tried selling surfing monkey statues or trotting out a donkey painted like a zebra for an extra special photo opportunity.
Rumor had it that Dos Gringos had a killer Sunday brunch buffet and Bloody Mary bar, so we showed up at 10:30 AM to find... that they hadn't opened yet. A place that offers brunch but has the balls to wait until after 11 is okay in my book. Ten bucks gets you all-you-can-eat eggs, bacon, chile verde, beans, and a bunch of other stuff to tickle your fancy. There's nothing like sitting out in the sun, feeding a hangover and resuscitating last night's buzz before the clock strikes noon, and it sure beats sitting in traffic when that monstrosity of a church up the street unleashes some Old Testament fury on Alma School Road. Dos Gringos probably gets spring break wild on Friday night, but on Sunday morning, this place was just as tranquil as the doctor ordered.</t>
  </si>
  <si>
    <t>dYtkphUrU7S2_bjif6k2uA</t>
  </si>
  <si>
    <t>I4bSn5gXsHuSPu7L-d_8nQ</t>
  </si>
  <si>
    <t>EI3YXHKCwAIrEj18OVNg-g</t>
  </si>
  <si>
    <t>Fun, with caps if I did that sort of thing. The whole experience was great (you won't get any specifics, this review is 3 weeks after, I can't remember, sorry). Service was by that waitress who does everything perfectly. Explain food, wine, doesn't stay too long. Nice interesting big room decor. Looking forward to the next time.</t>
  </si>
  <si>
    <t>k99cC9QpbUXlGRWwxEe93w</t>
  </si>
  <si>
    <t>FIQz9u8Cy7aTXfMQugUYvA</t>
  </si>
  <si>
    <t>ic86bSr_cewJSAPfIMyW8g</t>
  </si>
  <si>
    <t>Who dosen't like Cosco, I love this place. The pizza is cheap and good.</t>
  </si>
  <si>
    <t>Ut8dgpxKahmC_9v5PbYOmw</t>
  </si>
  <si>
    <t>cp39VURFby4A6u9m2It8jg</t>
  </si>
  <si>
    <t>pNv6lyBfJITFITz-iIKPzw</t>
  </si>
  <si>
    <t>A group of us from the IVAA Summit went to Zinburger last night. The food &amp; service was great! I think we scared our poor server (Mike), but he was wonderful!</t>
  </si>
  <si>
    <t>LH9q3LtJRVstt8Of4N1M1g</t>
  </si>
  <si>
    <t>MU3i2uEyUBntebU6pEyMbw</t>
  </si>
  <si>
    <t>7ohAK9lUtD5GluvzDTErXA</t>
  </si>
  <si>
    <t>I love this restaurant (even though it's a chain and I can hear my brother saying it's just a "glorified Red Lobster"). 
I ordered the Crab and Lobster Bisque soup and am drooling thinking about how much I wish I could eat it right now. For my entree I ordered the Atlantic Salmon (stuffed with crab, shrimp, and brie cheese) which was unbelievably amazing. I also had some scalloped potatoes which was basically in the shape of a brick covered with cheesy goodness. I wanted to eat the apple pie for dessert because it looked so delicious, but could barely breathe after eating all that food. 
The service was outstanding, although the manager stopping by the table several times throughout dinner was annoying. 
I can't wait to come back here.</t>
  </si>
  <si>
    <t>TVJP9jSapI_jVHJ89mmijA</t>
  </si>
  <si>
    <t>8o-NLKy_XfbJtqljX9XLCA</t>
  </si>
  <si>
    <t>s_2Q1U2UgG14kNhFTVn-fQ</t>
  </si>
  <si>
    <t>This is a tough one.  I'd found out about Mrs. White's by way of Lo-Lo's, and thought I'd try Mama's food before Son's.  It was good, I'll say that.  I had the smothered chicken and regretted it immensely - fried chicken covered with gravy amounts to a mess of watery breading.  Between that and having to dig through the mess to find the bones, it wasn't exactly a lot of meat down my throat.  Mac &amp; Cheese and white rice as my sides were good.
The ambiance?  There IS none.  I found more entertainment from the writing on the wall, which had clearly been painted over MANY times since the 60s, and the open/close sign which reads, if closed, to contact "Jesus".  LOL.
Unaware of the church across the street, I arrived right after Sunday services to find the place fairly full - some churchgoers, at least one newcomer party, and several regulars.  Based on the caloric content of the entrees, I wasn't surprised to see about 50% obese customers, while the rest were inexplicably thin.
As a Whitey, I can't say that I was comfortable.  Clientele is almost all Black and while they are some of my best friends, I only felt welcome because of the cordial words spoken by our waiter and the cashier at the checkout, who clearly could have beat the crap out of me with one punch.  Other than that, there were a lot of "what are YOU doing here?" looks from fellow customers.  I kept wishing I had brought my sista friend with me, who would have loved this place.
I'd go back, but it's not a perfect choice.  Perhaps on a Saturday when church hadn't just let out.  Also, the price is extreme - it's almost as high as Knott's Berry Farm which gives you more food for only about $2 more, and that's at theme park prices.  This is just dumpy outskirts of downtown..but again, I don't wanna judge.  I love small business and I'm proud of Mrs. White for making it this long; hope she continues for a long time to come.</t>
  </si>
  <si>
    <t>e3LzMIrC6FtN9QeTvWiGag</t>
  </si>
  <si>
    <t>xmtKVO7C7KYVqMBe2eQq3A</t>
  </si>
  <si>
    <t>PQBYt2G58kn0tBMhK3x33Q</t>
  </si>
  <si>
    <t>The food here is generally pretty good.  Drink selection is great.  Service is normally above average.  The only thing stopping it from getting 5 stars is that it's a bit expensive relative to comparable quality places.</t>
  </si>
  <si>
    <t>GeGDZ02UfARKBRl7LqKZuA</t>
  </si>
  <si>
    <t>VVeogjZya58oiTxK7qUjAQ</t>
  </si>
  <si>
    <t>h2c-jLW9cLVIiiubGqTaog</t>
  </si>
  <si>
    <t>On one of my many visits to see mi amore, he took me to this fantastic little pizza joint. The aesthetics of the place were overwhelmingly perfect. I believe the maximum seating capacity of the dining area is 45, yes folks, 45. So the 2 1/2 hour wait was expected, and very VERY worth it. The pizzas are baked to order in a classic brick house oven. The toppings arent what youd find in your local Pizza Hut, either. You can choose from fresh slices of mozzarella, slices of perfectly seasoned italian sausage, pepperoni slices, salami slices, arugula, fresh basil leaves, tomatoes, etc. Basically what Im getting at, is this is beyond words delicious, classic LEGIT Italian pizza. Around the dining area, you will see freshly baked loaves of focaccia bread, that is later served to you with extra virgin olive oil for dipping once you are seated. The smell in that place is heavenly.....incredibly reminiscent of my grandmothers kitchen!!
PS GET THERE EARLY!!</t>
  </si>
  <si>
    <t>qklF6QU-bi4Y4Bt4g6Sv8A</t>
  </si>
  <si>
    <t>iLHFyi913RBDovPVRPm_ZQ</t>
  </si>
  <si>
    <t>The pizza is my favorite in Phoenix.  It is light, airy and tasty and does not give you that "I am reading to explode as my cotton mouth is making me drink two liters of water every half hour" feeling.
The ingredients are fresh and delicious.  
I am hooked!</t>
  </si>
  <si>
    <t>7brf9WC0Gr_7bUBXEHs9FA</t>
  </si>
  <si>
    <t>x4L42igQPv4TFlqGR2Wthg</t>
  </si>
  <si>
    <t>BzeBZD_ySZHkzOxA1oNozA</t>
  </si>
  <si>
    <t>had the place to ourselves on a thurs nite (5/19) so...service great, mgr came over and asked if we had eaten here before "nope" so he said he wanted to buy dessert, "great, thank you" oreo cheesecake was good... now.... pizza...pricey by 2-4 bucks but was very good. can't go wrong with your toppings but the riccotta was not my cup of tea (wife liked it on her pizza). definetly going back to try it again... great crust</t>
  </si>
  <si>
    <t>5RVUt3bCDSA7F_SahuwZ8w</t>
  </si>
  <si>
    <t>MwaFQkJxzqg8G5_hTip99A</t>
  </si>
  <si>
    <t>dwC-XTgcmFTMKe1q-Cz8vQ</t>
  </si>
  <si>
    <t>Wednesday 7pm.  This place is your average over priced, lack of taste chain food restaurant and this place was no different. 
I have to say, I was super disappointed as I have always heard rave reviews, now I'm starting to question who I associate with and their taste in food.
Service=slow.
Food=just tastes like salt
Noise=loud and they do a dance...like a lot.
Go somewhere else and skip Joe's Crabs.</t>
  </si>
  <si>
    <t>Pk5T0OFCbl8mIKkKYyglWQ</t>
  </si>
  <si>
    <t>WYj43z0qmlKklhcvV75mwQ</t>
  </si>
  <si>
    <t>bAJIn-cEjNDPKoY3pXC3aQ</t>
  </si>
  <si>
    <t>After long debate of where to have lunch, I am glad that I stopped into The Greek Pita.  
I had ordered the lamb gyro with everything except onions.  The gyro was loaded with lamb meat and toppings.  The pita was soft and fresh. The Tzatziki sauce  has a nice tang to it.  It tasted light, cool, and creamy.   The total cost was $5.74 + tax.  I left with a very happy belly.</t>
  </si>
  <si>
    <t>uqK3yvpg5Evk_XgzMW-lAw</t>
  </si>
  <si>
    <t>9Y3aQAVITkEJYe5vLZr13w</t>
  </si>
  <si>
    <t>vSQQ5EC65AJFU7ZPa6owzQ</t>
  </si>
  <si>
    <t>They serve breakfast all day, which is always a plus.  
I had the tomato soup with grilled cheese.  The bread was delcious, tasted homemade.  However, there was way too much cheese, and it wasn't fully melted.  
My g/f had the eggs benedict, which looked really good.  She said it was really good, and filling.  
3 stars.  I've had better.  I've had worse.  La de da.</t>
  </si>
  <si>
    <t>gsMVXAI9su3B26Fd4vyyRQ</t>
  </si>
  <si>
    <t>FeI75xIG8PF_XZ6P80gLBQ</t>
  </si>
  <si>
    <t>eeJ10gamdNebtq028i0BvA</t>
  </si>
  <si>
    <t>I want to like Turf, but the food is just okay.  I've only been here twice, but it was not mind-blowing.
I'm not fond of the shepherd's pie here.  It is the most bland version I have had... even in this town.  
The wings, however, are pretty good.  I've eaten wings here with a couple Harps and have had a decent time.
Surprisingly good is their seared ahi tuna.  It is pretty weird to think an Irish pub would do this well, but they do.  A friend ordered it and after shaking my head and saying there's no way it could be good, I tried a bite and I had to eat crow.  
Turf is typically a stop on the pub crawl, so I will definitely be back again for boozing.</t>
  </si>
  <si>
    <t>64YY0h0ZAR2nbzxbx0IwJg</t>
  </si>
  <si>
    <t>yPJFfglhMHAKciUpjTmgBg</t>
  </si>
  <si>
    <t>TkTbb-JkRsdtD5wplSGEtw</t>
  </si>
  <si>
    <t>I had not been to an Oregano's in like 10 years. They seems to be popping up all over here in AZ now so my buddy was in from out of town and he wanted to try, so why not.
I'll tell you "Why NOT"... we has two thin crust pizzas... and I even hate to call them that. More like... crackers with melted cheese and some toppings.
That was some of the worst excuse for pizza I've ever had. Most of the fast-food delivery pizza I've had beats it -- and I do not like, at all, delivery pizza.
Maybe the pan pizza is better than the thin crust... god it could not be worse!
It only deserves one star for the good service... other than that is the another sub-par overpriced "gourmet" pizza joint.
If you want expensive, and good, pizza there are many good alternatives... Pizzeria Bianco, Grimaldi's, etc.</t>
  </si>
  <si>
    <t>KucBnMrhalzxnD9AWrxwYQ</t>
  </si>
  <si>
    <t>vnRwp-LUrxMdJC9je4q9Fw</t>
  </si>
  <si>
    <t>IgjLZa2UFxhvtu4WjrOtDA</t>
  </si>
  <si>
    <t>I was a regular at Mia's first location in Wrigleyville/Chicago. Scott (the original founder/chef and present owner) is the reason Mia Francesca is what it is. Not sure if us folks up here in Scottsdale know how lucky we are he landed on our door step. Food, service, vibe...if I could give it six stars I would.</t>
  </si>
  <si>
    <t>VeJi5LINIEkV78ug-WCV0g</t>
  </si>
  <si>
    <t>uI4YqMarUpchI4I3ZWgOGA</t>
  </si>
  <si>
    <t>Ygh_egJbl3jAYc8IaTRvPQ</t>
  </si>
  <si>
    <t>I thought Trader Vic's was very nice.  Food was very good.  Atmosphere was great.  Staff was very very friendly and fun.  They even gave me tons  of recommendations of places to eat in the area since I am new around here.  
I recommend the lamb.</t>
  </si>
  <si>
    <t>HGeXdydcZ9nDn9fT87z4fA</t>
  </si>
  <si>
    <t>ujMijCZ5vv9pU2aOz2LHjg</t>
  </si>
  <si>
    <t>Excellent service and food           
enjoyed live music on patio</t>
  </si>
  <si>
    <t>bMeRjJSiSZq1Izjvj7bvaQ</t>
  </si>
  <si>
    <t>8qrICL2tS2Rq7b5gxUdQwQ</t>
  </si>
  <si>
    <t>JBif92bIAelSfHoH39fSag</t>
  </si>
  <si>
    <t>I was fairly surprised to visit Line Thai and find some decently authentic, good-tasting Thai food. I'd always assumed that this area of Phoenix was (excuse me for the pun) totally dry on ethnic food, considering I had a hard time finding pho within a ten-mile radius of my parents' place in Surprise.
Anyways, I chose the pad si yew (spelling varies all over the place, I think they spell it "phat si iew") and my father ordered some kind of chicken cashew dish. Both were excellent, though a little more in the line of American tastes -- not as spicy, and the pad si yew wasn't cooked slightly burnt like I recall it traditionally is made -- it was pretty tasty.
The hot tea was a great companion to my meal as well.
The service was great without being too pushy, invasive, or sloppy. They always refilled my water in a timely manner and didn't interrupt my conversation with my dad. That's important to me -- that servers don't bust into your conversation with little to no consideration of personal space.
My parents had been there several times and enjoyed it, so now I see why they liked it. Oh, and their spring rolls and the accompanying peanut and hot sauces were also delicious -- not the best I've ever had but super-tasty.
The atmosphere is a little dry (what is it with this word? Sorry) but I can live with it. The booths were comfy and it's not like the place was musty or gross. Not every good restaurant needs to be chic and trendy, really.
All in all, it was a nice experience at a reasonable price and I'll definitely make a visit next time I hang out with the 'rents.</t>
  </si>
  <si>
    <t>vOw4NYgKe57qcJ5fOjk6PQ</t>
  </si>
  <si>
    <t>D0K0F0RREGO8LeW16IlZlQ</t>
  </si>
  <si>
    <t>3_rbagmhkqp4mPJiwoMlmw</t>
  </si>
  <si>
    <t>Love Krista!</t>
  </si>
  <si>
    <t>o7sNqbEsMrztrVV_3RU4Hw</t>
  </si>
  <si>
    <t>h6jfMpTZpNduLG0wE2tbaw</t>
  </si>
  <si>
    <t>lG3Y6LPASX8MyqDedIpBGQ</t>
  </si>
  <si>
    <t>Ate here months ago.  Was excited to finally find a Phoenix sushi venue, and one that also offered brown rice as a sub for sushi dishes (don't quote me on this however, since it has been many months and I may be recalling another venue).  
One item did impress me, and that was the complimentary appetizer that was comprised of tempura'd chips with perhaps a squid salad topping (?)  I should have just ordered another serving of this!  Instead, I tried an Ao Yasai (mixed gourmet greens with ginger) and a sushi roll w/ brown rice, the latter I thought was price-y considering the very small portion given.  I was so unimpressed by its unexciting flavors that I don't even recall what kind of roll I tried!  Pretty sad, I know.  
I told myself I wouldn't go back, but I would like to give Hana another try, perhaps for lunch and/or dinner with a group of friends and have apps and wine/sake!</t>
  </si>
  <si>
    <t>0bNXP9quoJEgyVZu9ipGgQ</t>
  </si>
  <si>
    <t>nuT_InwR0gHYcwQ20ouXyw</t>
  </si>
  <si>
    <t>Fun Irish-pub type vibe with a great beer selection and not your typical bar food. I love the oysters on the half-shell, salads, sandwiches and fried zucchini/mushroom combo.
Casey's offers inside dining and a bar - but the expansive patio is the hang-out spot. The clientele is varied and full of regulars. People from all ages and backgrounds hang out here but it's especially popular with ASU students, staff and faculty. 
The only downside is parking can be difficult, service sometimes slow and it can become fairly crowded - especially on the weekend.</t>
  </si>
  <si>
    <t>7kRN8IkOWlLblEltNlnfRQ</t>
  </si>
  <si>
    <t>dSQh1Hx2BiSrYog4ad740A</t>
  </si>
  <si>
    <t>4YSQvTgbGy5DraaXM4DGRQ</t>
  </si>
  <si>
    <t>You may think this is a cop out... writing a review of Starbucks. It's like writing a review of water. ("It's wet, delicious and necessary to my survival!") 
My aim is simple here though. This particular Starbucks location is an excellent place for people watching. Try hanging out there between the hours of 11am and 1pm on a Friday afternoon and tell me you aren't entertained by some of the patrons who go in and out of the doors. While attending school, I was taking a screenwriting class and given the arduous task of writing descriptions of about 35 random people. Where did I go to write every single one of them? Park Central Starbucks. 
The crew here is also super friendly every time I come in and they do their best to remember my name. It doesn't help that I tell them a different name every time. OK that's not true, but what a fun social experiment that would make.
The coffee... been there, done that and there's not much else I can say about it, but for the sport of people-watching, this a great place to hang out in the corner and just take it all in.</t>
  </si>
  <si>
    <t>DJIwm4UCnM-SOxXbARjPsQ</t>
  </si>
  <si>
    <t>adKyTJT-RtaTP0krxLyQwQ</t>
  </si>
  <si>
    <t>5YVQIr0AJiiiJmkuhoRjzQ</t>
  </si>
  <si>
    <t>nice location , good service but a little slow. been here twice so far and both times the food i would give 4 stars but both times they screwed up our orders and burger was cold, they did take off 20 percent for the issue and that was nice.. overall i enjoy the food and would go back.</t>
  </si>
  <si>
    <t>fnO1oH3N5QMG-PvHA4F-VA</t>
  </si>
  <si>
    <t>5zrVZnla81bH9eh76d5GVw</t>
  </si>
  <si>
    <t>6QNmh2tk6XK0jBrswJoARQ</t>
  </si>
  <si>
    <t>I attended one of her classes for pressure cookers, and had to leave with one. Luckily, she offers great discounts after her classes!
Since then I have also gotten a bosch mixer (don't know how I lived without one all these years!) and also a wheat grinder. Everytime I go in here I find something I can't live without!
Shar has great classes, and tips on how to utilize all her products. Well worth it to attend a class. I just wish the store was closer to Glendale!
So glad I found shar's, now my family enjoys homemade wheat bread and pizzas and all sorts of yummy things that are good for them too!</t>
  </si>
  <si>
    <t>ITBs8txD0Zu-YuxXCGqokA</t>
  </si>
  <si>
    <t>6CVBHyAJT7X5HUp4WfH78Q</t>
  </si>
  <si>
    <t>I have either an extreme LOVE or DISLIKE for this place. More love, though. 
Things I love: 
Great wine, with all different price points, which is nice. Cool, speakeasy atmosphere. Great bands and entertainment. Great cheese platter and flat breads. Good prices. 
Things I do not love: 
Service. Are you a bouncer? A bartender? Are you leading me to a seat? can you get me a seat? Its confusing. The staff is not clearly defined (not only do they not wear uniforms, or name tags, but they are scarce and hard to find) 
The mix. It is kind of a random mix. I guess that can be a good thing, but I was there once and it was like Spring Break in Cabo, and then the other time, it was like 50+ snow birds day. Either one is fine, it is just hard to gage when to go and who to bring, like, my mom, or my pals. 
They serve dessert, but no coffee. That, to me, is just strange. Buy a coffee maker. Sheesh. They have this amazing fondue that would be great with some baileys and coffee, and alas, no coffee. Strange. I know, "wine bar", but if you serve dessert, coffee should go hand in hand. 
In the end, the place is cool and they have some of the best entertainment there. they ambiance is nice. Go early for a seat, they are hard to come by. Beware of paying $ at the door for an entertainment fee, but it is well worth it.</t>
  </si>
  <si>
    <t>wxapwb1gulmqGVCNxVWjBQ</t>
  </si>
  <si>
    <t>R6aazv8FB-6BeanY3ag8kw</t>
  </si>
  <si>
    <t>EV7nE0i76PSf7Odfrqcicw</t>
  </si>
  <si>
    <t>I have visited MacAlpine's a few times, and every time I have been very pleased with both the food and the service.  The wait staff and the owners are always very friendly and helpful and the food, although nothing fancy, is always good.  I love the atmosphere of this restaurant as well as the neighboring thrift shop that is fun to browse while the food cooks.  And the egg cream sodas are delicious!  Not to mention visiting a piece of Phoenix history at the same time - I love it!  The only downside to this place? I wish they were open later into the evening...</t>
  </si>
  <si>
    <t>bUy80XymVAeKV9_QR0y8ug</t>
  </si>
  <si>
    <t>q1nDSpmV-FdTBNj6UuZvTg</t>
  </si>
  <si>
    <t>IZrBk5XXvCEO-7Ce3XYGOg</t>
  </si>
  <si>
    <t>I've never eaten at this location; both times I've had it was to-go. The first time I had a pulled pork sandwich, and a side of the beans. The pork was extremely dry and tasteless without the sauce. The sauce I found was overly seasoned. And the beans had way too much pepper. 
The second time I had HB's was a work lunch that we had this delivered. Once again, the pork was completely dry, but not as dry as the pulled chicken, which my coworkers complained about. 
I prefer Hap's BBQ over this place for sure.</t>
  </si>
  <si>
    <t>2ARM6NFVciTzV21r7p8jiw</t>
  </si>
  <si>
    <t>VcFKtk8h9nAztl2lnzaDaQ</t>
  </si>
  <si>
    <t>Need fig preserves? They've got it. Fennel? It's beautifully packed on ice and extremely fresh in the produce department. Need boneless pork loin roast from the blade end? The butcher has your back. Duck fat? Just take a peek in the freezer section. Sometimes, it's the little things that normally go unnoticed that gets you five stars...
AJ's closed early the other night in lieu of the holidays and I ran around to FOUR different stores looking for something as simple as whole grain mustard and fennel. I came up empty handed on both items. I say "simple" items - but it's amazing when you rely on a grocer like this as much as I do and realize that most items are out of reach otherwise. AJ's carries practically anything my culinary desires could ask for!
Although I had to wait a day to go shopping again and to make the recipe i was wanted, it was during my adventures to the 4 stores that I realized how much I truly appreciate this grocer. How is it I can get wireless internet via laptop on the I-10 freeway courtesy of my phone company, but can't find fennel within a 10 mile radius?
This my friends, is why I love AJ's. And as someone who watches America's Test Kitchen as though it were food porn, I can say that any other grocer doesn't stand a chance against Eddie Bashas' high end store.
You truly do get what you pay for. For all the employees at AJ's I say "THANK YOU!!" for the great service you provide and the products you offer.</t>
  </si>
  <si>
    <t>jy1qPe0Tz3ewHacAtshmBw</t>
  </si>
  <si>
    <t>9mQj65SmYj2pcehH339aEw</t>
  </si>
  <si>
    <t>BXPqsdLt7GkVY0WFu_ypCw</t>
  </si>
  <si>
    <t>Love me some hidden house! 
The music is too loud. The drinks too cheap. The clientele too local. But I've never had anything but a good time there. Whether it's karaoke or weird shit on the weekends you'll have fun if you don't expect it to be Merc, cuz Merc it ain't. And not for one moment in it's life has it pretended to be. But I love it for what it is and that's an experience.</t>
  </si>
  <si>
    <t>oC0kwGvgaAeT3ZIxdxTcJA</t>
  </si>
  <si>
    <t>FV0BkoGOd3Yu_eJnXY15ZA</t>
  </si>
  <si>
    <t>agM6-Nwj2Tbe-QCkqMugkQ</t>
  </si>
  <si>
    <t>Cowboy Ciao is one my favorite restaurants in Old Town Scottsdale.  To start with, they share a wine list with Kazimierz.  My favorite menu item is the Stetson Chopped salad.  My only wish is that the serving was bigger!  I can't get enough...and I'm too embarrassed to order two.  The flavors in this salad are amazing!  Smoked salmon, Israeli cous cous, creamy dressing.
For dinner, I actually like the Exotic Mushroom Pan Fry.  The tastes are really unique and I got to try mushrooms I hadn't had before.  It's great!
I did try the Bacon Peanut Brittle for dessert and I cannot recommend this.  It was not good at all.  It just makes the brittle really greasy and then you run into chunks of bacon...ick.  Thank God my husband ordered the Chocolate/Peanut Butter pot pie so I could steal from him!</t>
  </si>
  <si>
    <t>Mva8f3RBztfxUQoUi47SnQ</t>
  </si>
  <si>
    <t>1NZLxU5WvB5roPFzneAlLw</t>
  </si>
  <si>
    <t>fmogTChx_IX4QgLhuGFiQw</t>
  </si>
  <si>
    <t>Great Mexican food. 
Authentic street tacos plus a full menu of tasty dishes. 
Halibut tacos remind me of Ensenada
Michelada with Pacifico beer is a perfect beverage for any dish.</t>
  </si>
  <si>
    <t>8KBmUXP4gUoGPxNKnHLpjw</t>
  </si>
  <si>
    <t>1cTI09YZ3uRPXt3YkznuPg</t>
  </si>
  <si>
    <t>eGYRmlaUPl-Wmrp2CweqOQ</t>
  </si>
  <si>
    <t>I really wanted to give this place 5 stars but.. well.. let me explain. 
I came in on a Friday around 5:15pm trying to catch an early dinner. I am glad I did as upon entering I noticed they close close @ 7:30pm. When I came in all the tables were empty but they all had "reserved" place cards on them. Later I realized that there was some sort of club or church organization that came in and took over the restaurant so I would recommend making a reservation. The owner was very nice and sat us at one of the reserved tables. Her husband the chief quickly realized we knew nothing about polish food and offered us a sample of dill sour pickle soup. yummmmmy. 
The restaurant itself is located in old town Glendale's Catlin court in a small quaint little house that gives you a more personal ambiance. The owners made us feel like we were literally dinner guest at their house which was not what I was expecting but a nice surprise. 
The food is best described as "home cooking". The soup was excellent and my favorite part of the meal but the rest tasted just as my parents would have made growing up at home and I'm not Polish. Put simply all the main ingredients of my dish tasted as though they could have been bought at Fry's and my mom cooked them. The kielbasa was good but nothing unique, sauerkraut was tasty, but the green beans were either overcooked, thawed from frozen, or from a can. I am by no means a Polish food expert and maybe this is exactly how they would make it in Poland? 
Overall if you don't feel like cooking, want to try something new, and are in the mood for Polish food I would try it out and see for yourself. As for me I did like the restaurant and their owners but I think I will only return for the soup in the future, which I would gladly give 5 stars.</t>
  </si>
  <si>
    <t>VyzwBKnq-LJ8OjvG0ZTwrg</t>
  </si>
  <si>
    <t>iDYzGVIF1TDWdjHNgNjCVw</t>
  </si>
  <si>
    <t>5vzkZR2B3TWcyrNkofEbEQ</t>
  </si>
  <si>
    <t>This is my first dinner stop anytime I'm in Scottsdale, and always makes me look good when I recommend it.
This time, the standouts were the ceviche, the crab queso, the lamb adobo, and the  Cadillac marg.  Tablemates had other dishes they raved about.
Noteworthy notes:
I've not yet sat on the patio, but I can't explain why.  It looks awesome.
The margaritas are sufficiently stiff.  They're not my preferred carburetor cleaning strength, but neither are they simply jazzed-up lemonade or those super-acidic-1.0 pH version you get some places.
The service was a little lax this time, less attentive than before, and that's the only reason I'm not giving LS a 5 this time.
If you're after Mexican when in Scottsdale, this is the first place to point your ride.</t>
  </si>
  <si>
    <t>fSL20coJsOi_69A3u2OKcA</t>
  </si>
  <si>
    <t>PuHucejs4LG3hSXnrwi9-g</t>
  </si>
  <si>
    <t>qSqL5Ct8i0_2s8L29nYhuQ</t>
  </si>
  <si>
    <t>The actual restaurant is fine, the service is friendly and good.
I am not going to go in to the food other than to say, no.
Oh well $340 bucks and all I can muster is a no.</t>
  </si>
  <si>
    <t>GubdNFoDAsiwE6bWIr97cQ</t>
  </si>
  <si>
    <t>619v4z_tj2NiZWuX1tPdrw</t>
  </si>
  <si>
    <t>JAq8WMuHq3DcITJa7O7byg</t>
  </si>
  <si>
    <t>I have been graciously reminded by many people that a "bruin" is a kind of bear.
Sorry guys... I'm an AZ native (we don't have bears here in Phoenix) with the classic AZ school system education. :)</t>
  </si>
  <si>
    <t>Yk37VAp452K7FwHWd1rrQw</t>
  </si>
  <si>
    <t>q7DzFSkt1ColaWrAOw7rFw</t>
  </si>
  <si>
    <t>4FlODbbswl1eq5-z96vppA</t>
  </si>
  <si>
    <t>I recently had a shit cleaned at the Intercontinental Hotel in Hong Kong. Not cheap. I only mention that because this place charged MORE to clean that suit - almost $30 for a two-piece suit after they tacked on their $6 "designer brand" surcharge (no, I am not kidding). Despite branding as "green" the suit still reeked of solvent (the green, silica-based solvents have never left an odor in my experience). No differentiation to justify these absurd prices - a lot of good alternatives in the area. Be warned!</t>
  </si>
  <si>
    <t>JnJDO8c37PnwsP0P7-1v0w</t>
  </si>
  <si>
    <t>pQ3kRVmttsV1bHxuTf7TAg</t>
  </si>
  <si>
    <t>3iA6ROdM2Ii-k7HHvGcNxw</t>
  </si>
  <si>
    <t>I used to frequent the Lost Leaf almost daily starting the day they opened, unfortunately I cannot say the same anymore. I used to love the refrigerator full of beers, the music, and the cool little home, not to mention the biggest thing, the promise of a full bar. Now, everytime I go there it's full of douchebags, they are out of the beer I want, and the music has somehow become sucky. Perhaps the biggest kicker... there is still no full bar! The servers are surly kids, who have the audacity to tell you were you cannot stand, seemingly forgetting they work in the hospitality industry. If this were a city with a ton of good bars, that would never fly. But since they are one of the only games in the area, most people go back just out of convienence. The last time I was there, we coaxed a bum to dance to 1920's tunes that were being played out of the treehouse out front. That was about the only redeeming quality. And I swear if I see one more dude with girls jeans trying to look cool with a bomber of the worst beer imaginable I'm gonna snap.
Thanks for ruining what could have been an awesome hang out spot guys.</t>
  </si>
  <si>
    <t>JgDkCER12uiv4lbpmkZ9VA</t>
  </si>
  <si>
    <t>hh2lP4_2N-tk_OxmaTf_qA</t>
  </si>
  <si>
    <t>MFIB6AA1sP7gq49z0Bh29w</t>
  </si>
  <si>
    <t>Yes, the view is wonderful. Absolutely. 
Sadly, my table was near the entrance, limiting my ability to enjoy said view. Also, we are still in the summer months, so I was confused that there was a fire raging outside at night. 
The decor is wonderful, dark with different tones and moods. We arrived in the early evening, so I was surprised to see how dark the room would eventually become. I didn't find the table and its decor that exciting, but it will give it a pass. Not everything has to be practical art.
Our party consisted of five and we were certainly treated to a good sampling of what this place had to offer. Half of the party ordered off of the set price menu. This included a three course meal for something like fifty dollars. It may have even been less than that, but I'm not sure. This menu had an array of choices and wasn't limited to chicken or pork. 
I was impressed with the portions and the quality. The salads were crisp and the dressing wasn't overpowering, more of an accent, the way it should be. The meat was tender and flavorful; our table ordered the NY, Ribeye and Salmon. I do agree with others who said that the sides were a little small, but I do think they were worth the price. I know for sure the cream of corn was, as it was treated with green chili and a bit of spice. 
The desert was alright. Not a great deal of variety. The textures were spot on, but the temperatures seems a bit off. If a dish was intended to be served warm, it was slightly too cold, etc.
The service was bad. Probably the worst service I've had at any restaurant. Our server left items off of the tab, forcing her to return and run the debit card three separate times. I am okay with someone making a mistake, but it should not take two attempts to correct. Also, my wife and I ordered Mojitos. They were very average. No sugar, which I assumed was standard fare for Mojiots, and amount of mint was rather low. I understand that drinks are open to a bartender's whim, so I won't dwell on this fact.
Valet had a bit of trouble with our car and keys, which was annoying.
Overall, I enjoyed my experience, food and atmosphere alike. However, the service did bring me down a bit.</t>
  </si>
  <si>
    <t>syF-6VzPdjmCXbTye6N9Eg</t>
  </si>
  <si>
    <t>OFiQ34TNKEE5a00Vd8Kwsg</t>
  </si>
  <si>
    <t>N9lNmpiOD0bQQTDUvPAMew</t>
  </si>
  <si>
    <t>My first visit was roughly two weeks ago when I got a Mediterranean pizza over lunch.  Service was friendly and prompt and the whole meal cost ~$4.
Today, I stood around waiting for help for about 5 minutes without anyone so much as saying 'hi.'  One employee looked at me several times but ultimately went back to stocking shelves each time.  I could see people in the back and the general manager talking on his cell phone.  I decided to ultimately leave rather than waste any more time.  Disappointing at best.</t>
  </si>
  <si>
    <t>EO5Q9yRT7LP00iQYpSNuhw</t>
  </si>
  <si>
    <t>D1T1jtCfTfXD-cQE3QViow</t>
  </si>
  <si>
    <t>kBZdDpYbZCNXdSWXgCSFPg</t>
  </si>
  <si>
    <t>What a fabulous dining experience! My boyfriend and I are always looking for new places to try and came upon this place on Yelp when our regular Saturday spot decided to no longer be opened for lunch Saturdays. Right upon entering we were greeted by someone behind the register and he sat us down at a booth. The decor was great and the place was spotless. We ordered the Saturday special of Monte Cristo, the potatoes and the biscuits and gravy among other items. The Monte Cristo was perfection and the home made blueberry and strawberry jam was excellent! The potatoes were seasoned to perfection and eggs cooked perfectly. I would definitely recommend this place to anyone and this is now going to be our regular weekend breakfast/brunch place.</t>
  </si>
  <si>
    <t>jHwEOGkgl0yQ-oLWxiCAGg</t>
  </si>
  <si>
    <t>s26P-jeVUH9TjnTPQttPag</t>
  </si>
  <si>
    <t>Where are the managers????   It took 1 1/2 hours for our meal to come out at 8:15 in the evening.  Items came out at different times so we couldn't all eat at the same time.  The asparagus tempura was inedible because they didn't cut the ends.  Waitress just took it away and did not comp us.  Waitress knew next to nothing about the sushi menu.  She sat and talked with the hostess the entire time instead of waiting on her tables.  Food was WAY over priced, and I couldn't speak to my dinner companions because the music was way to loud.  One of the worst dining experiences in a long time.  Paid $70 for a dinner for 4 and went home hungry.  HORRIBLE!</t>
  </si>
  <si>
    <t>Rv3k5uOZT5i40aLmlhw4DA</t>
  </si>
  <si>
    <t>-0bUDim5OGuv8R0Qqq6J4A</t>
  </si>
  <si>
    <t>ex4pODOWrfzx1k89FEE0Kg</t>
  </si>
  <si>
    <t>This place is busy, but the kids love the pancakes so much food for the price.</t>
  </si>
  <si>
    <t>okcNd96gHHf_83wly93bpQ</t>
  </si>
  <si>
    <t>mn1LFFcQwEpir38_mPYH_g</t>
  </si>
  <si>
    <t>AgZm8lHgL_R3bsGDQSs6NA</t>
  </si>
  <si>
    <t>I was sad to come back to lai lai's and they no longer had the Mongolian :( boo,, but i took my mom there and we were starving so we decided to order off the menu. My mom is allergic to  msg and they helped us with what we should order. and she didn't get sick!! woo hoo.. we ordered three dishes and an appetizer to share between her , my bf, and myself, and we stilll brought food home, and I dont think we spent over $30 bucks for all that food!! it was very good to! i love good cheap food!! Ill be back, they are always friendly.</t>
  </si>
  <si>
    <t>TKiucSBuj9twVDW-BoAdrg</t>
  </si>
  <si>
    <t>RFMcLH3_58eAwvSfvLhJew</t>
  </si>
  <si>
    <t>etL0kdSM1kaKM7QHW2lbNg</t>
  </si>
  <si>
    <t>Mmm. The cream cheese and potato soup always perks me up when I'm getting sick, and I love their chocolate chip scones! I've had their ravioli too, they're yummy. Wildflower is homey and consistent!</t>
  </si>
  <si>
    <t>nsjM5lu-8CL97d58pJuVng</t>
  </si>
  <si>
    <t>5I3H_dsz7u90rir67QJq_w</t>
  </si>
  <si>
    <t>Ugh...I had never been to a Waffle House, but my southern friends who frequent them a lot back home convinced me to try it out for a late night creep.  The food is just sub par and sits hard in your belly.  All I ordered was waffles and I wasn't impressed.  I do appreciate that they are open late, so I wont' "throw the baby out with the bathwater".  The cocoa was cool and the server was cute, sweet and attentive.  Fortunately for me, my taste buds are already spoiled with The Good Egg.  I'm so sorry I cheated on you baby!</t>
  </si>
  <si>
    <t>K0euQLFAcKhQPZ6JxGAryg</t>
  </si>
  <si>
    <t>jf4RUa9EQO37hqxRCxbEXQ</t>
  </si>
  <si>
    <t>pHX-AXHXtPDK3dWcH4sJew</t>
  </si>
  <si>
    <t>Very good. My wife and I stopped by randomly on our way back and had beef pho and veggie pho. I eat large portions and this is the first time ever I didn't finish a bowl of pho. If in the area we will stop again for sure.</t>
  </si>
  <si>
    <t>MxeHhDzPsO9P8swTby_faA</t>
  </si>
  <si>
    <t>91n02N35x38nvR1XH-jOAw</t>
  </si>
  <si>
    <t>abVV1guPWL3mK08A3a8ajw</t>
  </si>
  <si>
    <t>This place is wonderful! The service is amazing and food is delicious. 
I especially enjoyed the Clams Oreganato appetizer.  
The Eggplant Parm lunch special came with pasta and choice of soup or salad.  What a great deal!</t>
  </si>
  <si>
    <t>UfGlNf7MbKeRPp4ASUVTcg</t>
  </si>
  <si>
    <t>gb-k4Z17XxuPkUmsevwBYg</t>
  </si>
  <si>
    <t>Angel Sweet Gelato is a welcome treat on a hot day. It sits in a small strip in the middle of Mesa Riverview, but if you can find it (west of Logan's), it's worth a stop.
The selection of flavors is large, including a dozen dairy-free fruit flavors that aren't quite as decadent as the dairy gelatos in the left-hand case. I've tried the lemon and all the berry flavors, and haven't found anything that wasn't delicious. The prices are reasonable, and you can order sizes from one small scoop to a big box (all unfortunately served in styrofoam).
There isn't a lot of seating in Angel Sweet, but I've never seen it full. Get a punch card if you live in the area. If you like firemen, this would be a good place to see them hanging out.  =)</t>
  </si>
  <si>
    <t>IldNKx5L8unlcv3LBSs-_g</t>
  </si>
  <si>
    <t>Cr2JNnewX53TYd9w6qw6Jw</t>
  </si>
  <si>
    <t>QaNWZl78P8pIWtmYqg5ECw</t>
  </si>
  <si>
    <t>Last nights To-Go order: 
Char Burger w/avocado. Burger was delicious ~ Yum! 
Extra crispy french fries were perfect!
Price was reasonable for a burger of this caliber. 
No drive-thru
No waiters
Staff very friendly
I WILL BE GOING BACK!!!!</t>
  </si>
  <si>
    <t>MfbH-4cBh0EXWd7IKEuEhg</t>
  </si>
  <si>
    <t>PNrOTfMmE0CJFV9YwSLzYw</t>
  </si>
  <si>
    <t>qaSppPcuea8OfF2MwvZ9nA</t>
  </si>
  <si>
    <t>I have not had better chinese food since moving to Arizona.  The restaurant was 3/4 full on a Tuesday night!!!  With many Asian people.  I thought in this "recession" that having a restaurant that packed was a pretty amazing thing.  The service was superb.  The food was overall yummy.  I did not enjoy the greasy wonton chips that are served for free before the meal.  My friend really like them though?!?!  The hot tea was good.  My veggie dish (something with bamboo shoots, mushrooms, green pepper, broccoli, ect.) and steamed rice was good.  I ate every single bite.  The free dessert (wontons filled with banana and others with plum maybe?) were yummy.  The total bill with tax and tip for 2 entrees and 1 soda was $24.  I left full and happy.</t>
  </si>
  <si>
    <t>T7J9ae0wTskrI_Bgwp-4cA</t>
  </si>
  <si>
    <t>8Hn5X1AqgmSLHRG2KgBJBg</t>
  </si>
  <si>
    <t>ADVoNoduCFQ3Ecz4zJRVyg</t>
  </si>
  <si>
    <t>Probably the most overrated place in the Phoenix area. There pizza tastes way too much like their canned tomato sauce and there is always a wait to be seated. 
That being said there food overall is OK. There meat salad and cal-zones are good and the servers are friendly. For all the people out there giving it more than 3 stars: try other pizza places like spinatos, la grande Orange, pizzeria Bianca.</t>
  </si>
  <si>
    <t>qQb4pg5uqvjMOfGPWbIkeQ</t>
  </si>
  <si>
    <t>PWG28q4JFOc8FiRBjnfCkA</t>
  </si>
  <si>
    <t>W5AdcbX_qzSYQ5VbwWyJsQ</t>
  </si>
  <si>
    <t>Alright, so here is my two cents on Brat Haus. I suggest to steer clear of the brats I tried (Beer Brat &amp; Spicy Thai).  I found them a bit dry and bland.  I also found the pretzels less than fabulous. I do suggest to try to big, juicy, tasty, meatballs. Much better choice. The outside patio very cool, an open fresh space with plenty of seating and a big ol' wall of funky art. The service was also friendly, and attentive and fair prices. Overall, it's totally worth checking out if you are in the area and in the mood for something different.</t>
  </si>
  <si>
    <t>lmiDCrmas8TxRsbIGZX9Pg</t>
  </si>
  <si>
    <t>Y-9dJvw-J2d9QKfuL7mKgA</t>
  </si>
  <si>
    <t>c15oWoC-EERMpE7iCmAcwQ</t>
  </si>
  <si>
    <t>Went here today Sunday about 8:50 and it was crowded but not to bad, about 1/2 hour wait. Im warning you now, dont ask how much longer after you put your name in if they told you how long when you checked in. 
About 10am is when it really got packed, just about when we got done. I ordered the chicken and waffles and i really liked it. I asked for some butter for my waffle because it didnt come with any and it made the dish perfect for me. The chicken had great flavor and when you take a bite with the waffle and butter and the syrup, heaven. I tried some bites without the butter and it wasnt even close to be the same for me. 
My grandma got some omellete and she gave me some because she knew she wouldnt finish it and i would order that also. The omelletes are pretty good size but my wifes dish, my sons and mine where not that much food especially for $9. We are use to getting enough food for 2 when you eat at breakfast places and slighty cheaper. Not complaining because it was good but be ready. 
There was 2 guys sitting next to use and trying to eat there 30 minute food challange. big ass egg plate with bacon and hash browns, they both only made thru about halfway.  I would definilty go back and get the same stuff. I also got a lemonade with mint and it was just right. My son really didnt like his reese's pancakes.
Id like to go back and try some of this stuff ham steak w/ gravy, chicken fried steak w/ hashbrowns, bannana pecan caramel french toast</t>
  </si>
  <si>
    <t>3w-JiPus8k-BR5PQ7egDvQ</t>
  </si>
  <si>
    <t>xWlCgISVtozxCztPA4nGaQ</t>
  </si>
  <si>
    <t>AUCwvenvFqnWcv04yYrL1Q</t>
  </si>
  <si>
    <t>On a early Saturday evening, the band was playing the crowd was just starting to meander in.  Going further inside in an attempt to avoid the high volume of the band whose audio was piped in throughout the restaurant (I failed) I realized shortly that I must of been missed siting in the middle of the dinning are as the wait staff moved smartly from the kitchen to the front delivering the drinks and food to the patrons. I ask a member of the staff was I sitting in the wrong area and soon service was rendered.  
Food, nothing special but it is more of a bar than a restaurant.  Although the atmosphere was unique, I do have a question why cameras were in the mens room.</t>
  </si>
  <si>
    <t>nK74XYEJBa2Z5OLN5O6HYA</t>
  </si>
  <si>
    <t>MD1FwtNX1SdCsEoSjlw6NA</t>
  </si>
  <si>
    <t>Love this location at Gainey Ranch! Great food consistently!</t>
  </si>
  <si>
    <t>MuIXnv7Oq7X3-4aEsp9dDA</t>
  </si>
  <si>
    <t>CD3QORZYdE0UKBrdyylYsQ</t>
  </si>
  <si>
    <t>Our server Gary was awesome. Food was amazing...an experience.</t>
  </si>
  <si>
    <t>qK_o6Chm8VakPzeMCurtWA</t>
  </si>
  <si>
    <t>vxPPpj5jJKO8DtapF5S-NQ</t>
  </si>
  <si>
    <t>7cVUEyUE_rOT9AXdxfmKWg</t>
  </si>
  <si>
    <t>Pupusas?? As a hardcore Mexican food enthusiast I was intrigued by the concept but barely able to figure out how this fascinating dish was pronounced.  I am proud to say that I am a HUGE fan of pupusas now.  
Salvadoreno popped up in a search of mine to find a low-key, nice Sunday night place to relax and enjoy some food.  It definitely was worth the visit to an interesting part of Mesa.
The restaurant is very similar to a lot of Mexican food restaurants anyone who has lived in Phoenix will be familiar with.  One room with several tables and a counter with interestingly-named dishes posted behind it.  The waitress was very friendly, but I will say that knowing a little Spanish helped.  My girlfriend and I both ordered the Pupusa combo platter, real risky based on other reviews - I know.  I went with Pollo and the revuelta mixed with pork, cheese and beans.  She had the chicken as well with carne asada.  This little dish is fantastic!  I think next time I'll just stick with getting two pupusas because I was extremely full and did NOT need to add rice and beans to the mix (although those were good too.)
The only disappointment was the fact that Independence Day was on the TV in Spanish, but the volume was too far down to hear.  I'd love to hear the voice-over actor for Will Smith busting out a "Bienvenidos a Tierra, P***!"
On a more serious note, I look forward to heading back here as soon as possible.  I'd love to try the Ceviche, as it's on the Best of Phoenix list, and there are a few other dishes (think breakfast) that looked intriguing.</t>
  </si>
  <si>
    <t>mQba83gB018LlGt51r80ZQ</t>
  </si>
  <si>
    <t>lkW5sIbOqiYRQbkpera8dg</t>
  </si>
  <si>
    <t>I agree with others that it seems a bit expensive at $15- but that still would not steer me away from going.
For the first time in about 8 years I found myself at the DBG with some out of town family. Wanting to enjoy the weather (since they had just escaped the cold grey winter of Detroit) the gardens were the perfect spot. The garden is equipped with wide paths and plenty of benches to help the old timers pace themselves. It helps remind us city dwellers of the beauty the desert can have and how unique Phoenix truly is.</t>
  </si>
  <si>
    <t>qd1ajiZRCwqEQJqCgoN1wg</t>
  </si>
  <si>
    <t>zykk2GqMA_QHVz6lvtQ9Xg</t>
  </si>
  <si>
    <t>Wed-Sat, sit at the bar and ask for bartender JOY. She's a GAS!
Great spot for a late-afternoon glass of wine with an appetizer. Mostly poor execution from kitchen, excellent service.
--hummus appetizer with sample of olives is great choice
--crispy plantains with pepper are tasty and fun, crab dipping sauce, not enough crab
--tuna salad with arugula, uninteresting
--side salad for ciabatta "sandwich" typical Dole bag mix (first visit) was WILTED and nasty. Shame!
--chicken salad with dried tomatoes and goat cheese; way too much cheese
Now, to Joy. She's a keeper. First visit, we struggled with the proper preparation of a Sapphire martini, but it was primarily the fault of our server's communication skills. Working with machine-made ice (you know, the stuff with all the flecks and shards that water down a proper martini), she primed the ice with a squeeze of lemon, drained, then prepped the glass with vermouth, in and out, then pour the STIRRED Sapphire in, drop twist! Congrats, my lady.
If you can get past the chick-chosen wallpaper (wrong) and perfect-sphere fake tabletop plants from restoration, the different-height tables mix up the room just right and make it feels shabby chic without the white.
Say hi to Joy. =)</t>
  </si>
  <si>
    <t>hDlSSyDreM9xY4yQWPm54w</t>
  </si>
  <si>
    <t>X_AT29hdvyK8omBxRsfasQ</t>
  </si>
  <si>
    <t>We started each morning of our vacation at The Breakfast Club.  Everything was so tasty; juices are fresh-squeezed.  Menu has quite a variety and portions are very filling  It gets busy early.  Be sure to give it a try.</t>
  </si>
  <si>
    <t>tVoCVBUg-ubBMLQlX5_SVQ</t>
  </si>
  <si>
    <t>97Z7j4vH0kfzL10AONi4uA</t>
  </si>
  <si>
    <t>62xjol6KYNtMS2gFSmqfaQ</t>
  </si>
  <si>
    <t>I had other piercings done here and then went out of state and got my nose pierced with a friend and when i got back I was having problems with it. I went in and talked to them and they changed out the stud for me gave me a discount on the jewelry and were really fun, friendly, professional and very informative. This place is top notch. Won't go to another place for my piercings again! No way! It is very clean, and these guys know their stuff! Really impressed...I could go on and on! I won't get my jewelry anywhere else either...they have a a great variety and if they don't have something you want they order it, easy peasy. Love it!</t>
  </si>
  <si>
    <t>PzeWNJ_hrhDzs8NdcBA06A</t>
  </si>
  <si>
    <t>PZoYdab9Zd9kfnqjDNh-XA</t>
  </si>
  <si>
    <t>The food here is awesome every time I come here we have a great time And the waitress kimberly Couldn't ask for better waitress</t>
  </si>
  <si>
    <t>vE3yvKUayE1WxQPuRB4eEw</t>
  </si>
  <si>
    <t>bts6jVczHJuWzpT8Y26UsQ</t>
  </si>
  <si>
    <t>d_2huUcM3ie0Zt-0tybnhg</t>
  </si>
  <si>
    <t>This has been a long time coming and is one more huge step in the development of Phoenix as an urban center of the United States. 
I have a stop three blocks from my house at Central &amp; Thomas. I have ridden from there to Tempe and it only took about 20 minutes to get there. The stops at each station are very quick and efficient. Everyone is in and out and the train is on it's way again. The ride across the lake is a beautiful way to enter Tempe. From there, it's just a short walk to Casey Moore's and all the other spots I enjoy in Tempe.
The last star is missing from this review because service ends far too early on the weekends. I understand not wanting to deal with the after 2 am crowd, but could we get at least 1:00 am or 1:30 am on the weekends!?</t>
  </si>
  <si>
    <t>gW-ukHucTfVCnFCKKxPJzw</t>
  </si>
  <si>
    <t>Nmw167kEkXLJ7YdE7wWjiQ</t>
  </si>
  <si>
    <t>OK, I've decided that other coffee shops sell swill. I think about Dazbog coffee in a dreamy sort of way, like unstressed people think about sex. I mourn often that they open so damn late in the morning. Seriously, I would be there every day... 
The chocolate cappuccino rocks my world and perks me right the hell up, even on the mushiest afternoon. No bitterness, not overly sweet, just blissful- in an I've-just-been-bitch-slapped-by-caffeine sort of way, of course. 
Oh, and the sandwiches I complained about? Replaced by real deli looking ones in clam-shells. Far more appetizing. But what the hell do I need a sandwich for when I can have a giant red velvet cupcake? 
Don't make me break out the voodoo, Dazbog. Just open at 6:00 am like any other coffee shop and we'll be BFFs.</t>
  </si>
  <si>
    <t>N-D-d1Z4UybdlkK1HxlNPA</t>
  </si>
  <si>
    <t>YQvg0JCGRFUkb6reMMf3Iw</t>
  </si>
  <si>
    <t>bT1Pen64fidmeNqm8ELFIQ</t>
  </si>
  <si>
    <t>We had a delicious meal with great service.  Awesome!</t>
  </si>
  <si>
    <t>23iaSkV0K36OetsHnXLoYQ</t>
  </si>
  <si>
    <t>7eUFOcfxuXDdrHGVSp3_9A</t>
  </si>
  <si>
    <t>MLMI9B6j_E6YlcjCUJcG9g</t>
  </si>
  <si>
    <t>What's not to love? Herb n Flavors uses local, high quality ingredients, the food tastes GREAT and they are vegetarian, vegan and gluten-free friendly! I especially liked their vegan spinach and artichoke dip! We will definitely be back soon : )</t>
  </si>
  <si>
    <t>EIQ8gPTx5L-zXPlYDwWGeg</t>
  </si>
  <si>
    <t>J7zXaGgQ7U6rWlaUBVEjjQ</t>
  </si>
  <si>
    <t>7DvxqVS6o6QRxAFv3wRP0g</t>
  </si>
  <si>
    <t>A friend of a friend recommended Lou/Autoplex and I couldn't be happier.  Lou provides honest, fast service and is a pleasure to deal with.  No runaround, no nonsense, honest auto service.  Extremely difficult to find these days... I went to him for a muffler/tailpipe and then later for a catalytic converter and was completely happy with the outcome.  Additionally, he pointed out other things that I should see my previous mechanic about that they needed to fix/finish.  :)</t>
  </si>
  <si>
    <t>LKJswnMTubEGjJXFDseHKA</t>
  </si>
  <si>
    <t>y6uO4ydAwBHUujfiSktxZg</t>
  </si>
  <si>
    <t>AYHZs0_M8XgoGDU40dewDw</t>
  </si>
  <si>
    <t>Excellent New Mexico style food, great hatch green chile.</t>
  </si>
  <si>
    <t>DA_SU_MbfgfalzbktcsBzw</t>
  </si>
  <si>
    <t>eM0BAZ57RDHdhvXc72O8Pg</t>
  </si>
  <si>
    <t>sM0CDlYCfv7Q7K1z2kEN-g</t>
  </si>
  <si>
    <t>We have been to this location to buy gear prior to the Fiesta Bowl.  Yes, things are way overpriced, but that is the premium one pays for licensed merchandise.  One nice thing is that they had a buy one, get one half off deal.  Was nice for our large crew.  Nice selection of NFL, NBA and MLB gear.  Friendly staff, good location.  If you feel the need to buy licensed sports gear when you are in the area, worth the trip.</t>
  </si>
  <si>
    <t>z5QQGDqErjMKD8XtM00s7g</t>
  </si>
  <si>
    <t>Gy7ERh2GhmAYMZMO48ztBg</t>
  </si>
  <si>
    <t>khAoUDIebA5CBJzQpQx3DA</t>
  </si>
  <si>
    <t>Went here last night with another couple for dinner.  The pitcher of margaritas was spot on, the chips were outstanding along with the guacamole and salsa.  I ordered the tortilla soup which I ended up sending back cuz to be honest it tasted and looked like a bowl of enchilada sauce.  My husband ordered the filet and enchilada which I have to say was cooked perfectly and definitely would order if I ever went back.  The other couple ordered the beef short ribs which I didn't taste but they both agreed it was over cooked. Service was great but when I have to send something back which I rarely do I can't give more then 3 stars.</t>
  </si>
  <si>
    <t>FIin1o5cJb8thgJuP8eLCA</t>
  </si>
  <si>
    <t>FqzgT9Y-Yu7jiWdHnGW-kQ</t>
  </si>
  <si>
    <t>_Q519j_yNQ_RqprvHjSb9Q</t>
  </si>
  <si>
    <t>Arizona definitely lack cool spots, but luckily they have The Vig. The venue has a nice patio area--perfect for warmer nights, but the inside tables are fine too.  
My friends brought me on a Sunday night where all their bottle wines are 50%off... which is pretty awesome. The service was friendly and the food was legit. Try the "Good ol' Steak Salad" and Crabmeat Artichoke dip! 
btw the valet is $3.</t>
  </si>
  <si>
    <t>_pw-OnDpCe9XM0rDVvTUMg</t>
  </si>
  <si>
    <t>hi-Z3DzxW10iOHBGVfzhaw</t>
  </si>
  <si>
    <t>I love this location! The food is always great and the service is good. Wi-fi is a plus especially since I am going to school. I come here almost everyday. I recommend this location to everyone.</t>
  </si>
  <si>
    <t>JniV2vR1TZFBCrdTlIOlNQ</t>
  </si>
  <si>
    <t>GqtMJxq5-7Xp1ZXXmahLaA</t>
  </si>
  <si>
    <t>GQLdJaJQ2b1LKmZmmICMHA</t>
  </si>
  <si>
    <t>I am at work today, talking to my co-worker, letting her know that I was going to Taco Bell for lunch.  She looked at me disappointed, and said "I never want to hear that you are gaining weight again...stop eating that!"  She then told me about Sacks....I decided that I would give it a shot. (not that is was any healthier....)
I wasn't real impressed with the layout of the place, even where it was located.  It was getting busy when I walked in...and had no idea what to order.  I ended up with the Van Gogh, which was roast beef, dill, alfalfa sprouts, cheese and I subsituted the marble rye for a tomato basil bread.  The girl at the counter was really sweet and helpful at helping me pick out what I wanted.  
My sandwich was really good, and it wasn't just a normal sandwich.  I also liked the little cookie that they snuck into my bag.  And the fact that they have Stewart's root beer was a nice bonus.
The only thing that I could say that was negative is that I left there still smelling the kitchen on my coat.  And it wasn't pleasant.</t>
  </si>
  <si>
    <t>ca2Sa9Enqg2GlWFQ95p8bw</t>
  </si>
  <si>
    <t>MXOdsPTLQPsQK9hUq01DWg</t>
  </si>
  <si>
    <t>7aCLrfSXrGKdsBb3Ri520A</t>
  </si>
  <si>
    <t>we went here for dinner and drinks, and it was awesome. the giant soft pretzels are amazing, buttery, and delicious and are served with a roasted pepper cheese sauce. they are awesome, but get them to share, the butteryness is rich! the prices are reasonable, and the patio is nice to sit out on! even better than the food, service, and prices is the music!! they play an awesome selection of music!!</t>
  </si>
  <si>
    <t>6VGodLwjrYPQYq0qxfRyXw</t>
  </si>
  <si>
    <t>jP-z3uJAqR7J6XEcDq8cMA</t>
  </si>
  <si>
    <t>ok....first let me say that I grew up in PHX. And we used to go for special occasions to "Bobby MaGees" which is where BobbyQ's is now located (says something about the quality of my restaurant experiences as a young fella)...And as cheesy as Bobby McGaees was...i kind of miss the pirate serving me my dinner (and the salad bar in the bathtub).
But i do like what they have done to the place. Cool interior. Casual but with a nice upscale feel. The patio seemed really nice (didn't sit out here).
We tried a variety of things. A burger, a pulled pork sandwich, brisket, baby backs etc...
I think the standout were the ribs. VERY good...very tender (but not overcooked), good sauce.  I enjoyed every one.Everything else was just ok. Like on par with Chili's (which isn't saying much). 
The sides were pretty tasty. Corn (roasted and then taken off the cob for you) , mashed potatoes, cornbread...all pretty good. 
Dinner for 4 (2 kids, no booze)...50$.
But a 5 star place? Maybe in the context of other restaurants in the Dunlap and I-17 areas (next to crazy Mitch's Furniture barn.) But not in the broader context of PHX.
I would definitely go back for ribs...but not a place that will go into the normal rotation.
Side note: Hilarious crowd on a Saturday night. Lots of "west side" clubbers...or maybe too old to be clubbers but want to go clubbing (there is a lounge attached).</t>
  </si>
  <si>
    <t>gdLc6dq1NpjHj47WBUNZ_A</t>
  </si>
  <si>
    <t>EcHuaHD9IcoPEWNsU8vDTw</t>
  </si>
  <si>
    <t>zXzuOVGhoXcu0u9iLcYxhg</t>
  </si>
  <si>
    <t>My wife and I decided to take a little vaca to celebrate our 13th anniversary and also was the first time that we were traveling with our 5-month old, so you can imagine we were a little apprehensive. 
The resort is absolutely top-notch, the rooms are very spacious, the staff is very courteous, and the facilities are simply superb.  Our room overlooked the mountain, and in the morning, it was blissful to sit outside and sip on our cups of joe. 
The rooms have a microwave and a small fridge, something that was invaluable to us to store milk and warm it up for our little one.  The spa is simply one of the best in the valley, and even if you don't stay here, I would recommend the spa to anyone.  The resort is close to at least 20 golf courses, something that might be important to other golf nuts like me. 
So then why not 5 stars? Simply because they would not extend the check-out time for us by even an hour.  The check-out is 11 am and our flight was delayed to 8 pm, so when I requested, I was told VERY NICELY, but firmly that it wasn't going to happen.  I've traveled some, and have NEVER been turned down for a late check-out request, ever. 
Still, a great place to stay, the facilities are top-notch, the staff is very nice, and we had a wonderful time.  Would recommend this to anyone wanting a relaxing, fun experience in the Valley of the Sun.  Cheers.</t>
  </si>
  <si>
    <t>4o7r-QSYhOkxpxRMqpXcCg</t>
  </si>
  <si>
    <t>1621ir5mjVgbHwxCbMAEjg</t>
  </si>
  <si>
    <t>4TQTwp7lAca35ANmw2TD5g</t>
  </si>
  <si>
    <t>Thank you, Mobile Yelp App!  Without you, I would have been stuck in Phoenix with no idea of where to find Thai food for lunch that was near a Light Rail station in Tempe!
I arrived at Thai Rama about 11:15 AM.  On entering, there was no indication of waiting to be served and no one visible from the staff, so I selected a table and sat down.  My waitress came to the table and asked if I would be more comfortable at a 2-seat table instead of the 4-seat table I had selected.  Since there were about 25 available tables of various size, I declined and told her I was comfortable where I sat.  There were 3 other tables active in the restaurant, so I did not anticipate the restaurant needing my 4-top before I was done.
The waitress set the lunch specials menu on the table and went to get a glass of water.  The lunch specials menu had 10 options available, but no Som Tom.  I asked the waitress if Som Tom was available and she answered that she did not know what Som Tom was.  She reached for a full menu as I explained that Som Tom is green papaya salad.  She handed me the menu and directed me to the third page for salads.  There, first on the list, Som Tom.
I ordered Som Tom, the yardstick by which I measure every Thai restaurant, 10 spicy (5 makes my nose run, 8 makes my forehead sweat and 10 brings tears to my eyes), leaving off the green beans and shrimp, and jasmine rice.  Waitress asked if I wanted anything else to drink, but I said I would stick with water.
Ambience here is pretty plain...and the paper napkins are not of the highest quality.  The decor reminded me of a formula-type restaurant like an Applebees or Chili's...with a hispanic flair.  I observed the chef as he came out of the kitchen and made a loop around the dining room.  As he walked by, I asked in Thai how he was doing.  He stopped and replied that the day was starting off slow, but that it would be busy soon enough.  Then, he continued back on to the kitchen after wishing me a good day.
About 5 minutes later, my papaya salad was brought to the table.  Portion size was nice, about 2 1/4 cups.  I took a taste and evaluated a 5 spicy.  When the waitress came to ask if I needed anything, I asked for more chili and lime.  She returned quickly with red chili pepper and sliced lime.  I doctored up the order and fell to with a gusto.  For the price, adequate.  
Jasmine rice was about a cup, and not too sticky.  The waitress was good about keeping my water glass full...and in Phoenix, that is important!
On completing my lunch, I sat and waited for the waitress to bring my bill.  I saw no one for about 10 minutes, then the chef came out of the kitchen and made another round of the dining room.  He asked me (in English) if I enjoyed my salad.  I answered in Thai that it was not spicy enough, and I was surprised he was using red chili instead of Thai chili.  He chuckled and replied that Thai chili was a little more expensive.  I asked for my check and he said he would send the waitress out.
For the convenience, outstanding!  For the next experience, I will be sure the chef sees me before I place my order.  For the wait on the bill, a little too long.</t>
  </si>
  <si>
    <t>8qe2c5uRlAkvNFvDriBm1Q</t>
  </si>
  <si>
    <t>8oxnPoOS5wQzhl5LLOm7ow</t>
  </si>
  <si>
    <t>DCCqJzKnPARsxymujSUkAA</t>
  </si>
  <si>
    <t>Awesome country club. Great new remodled gym, heated Olympic pool for year round use.  Love the family like atmosphere, plenty of planned family events/pool parties. 
Only complaint, wish members who didn't pay for the monthy tennis membership could still rent a court on a need by need basis.   Regardless courts are top notch, great facilities and friendly staff.</t>
  </si>
  <si>
    <t>_OLBq0aZR7K-UdPCrByatg</t>
  </si>
  <si>
    <t>RbAdrppz5Q_zwLsd9FYYaw</t>
  </si>
  <si>
    <t>We are lucky enough to live basically right accross the street.  
The food is great. Love the thin crust pizzas and the sweet potato fries. They grow a lot of their own veggies. They seasonally sell dates at the farmstand that are GREAT. 
You get your food free on your birthday.
Gets very crowded on the weekends!
the dessert is just OK, but the shakes are great!</t>
  </si>
  <si>
    <t>9UxkYlsD0cnziYN--O8xug</t>
  </si>
  <si>
    <t>Bc4DoKgrKCtCuN-0O5He3A</t>
  </si>
  <si>
    <t>tQ-y8TbqKTvM6WPgqADe4A</t>
  </si>
  <si>
    <t>This is probably the sweet I crave the most! Salted Butter Caramel! Yummmm! When I cant make it up to Scottsdale, I stop by my local Whole Foods in Chandler and pick up a pint from the freezer section and it is just as good.</t>
  </si>
  <si>
    <t>KSTOdz0lSFCkqBSRNwjERA</t>
  </si>
  <si>
    <t>X25CYzSxzCgk2nO3DkrgdA</t>
  </si>
  <si>
    <t>Rx5HkApX1eXcNYX4_AvPMA</t>
  </si>
  <si>
    <t>This was the first real ballet I have ever been to, and I was so excited it was the Nutcracker! I have been wanting to see the Nutcracker for years. 
Thanks to Lindsey and Yelp, I had the opportunity to go and the performance was just stunning. When I walked in, I noticed the lobby was beautifully decorated, a gentleman reading a story to children and a ballet dancer posing for pictures. The bartenders we bought our drinks from, was very friendly and accomodating. 
I can't say enough about how beautiful the performance was from the dancers, the sets, the costumes, etc. Just incredible. I may just take my daughter to see it with me this season....</t>
  </si>
  <si>
    <t>RxfFQxUtSIGYwTKU_rvAeg</t>
  </si>
  <si>
    <t>txCJurIIrE9ZoHu3gZUvnQ</t>
  </si>
  <si>
    <t>Qfz2HwpS3tdHOlwBlhZNrw</t>
  </si>
  <si>
    <t>The server could have been better. She spilled a coke on my lap. This made me late for my movie. The wait was so-so however the food was cooked to my liking. I will go back.</t>
  </si>
  <si>
    <t>u51Y4YnhAbWn0nghijc2dw</t>
  </si>
  <si>
    <t>8PYmv83XaJTioz5_A-SVxA</t>
  </si>
  <si>
    <t>iHw39WDbIi5qgurOkNNiWA</t>
  </si>
  <si>
    <t>Still quite poor both in service and food. maybe I made a mistake and ordered Sichuan Gong Bao ji ding for what seemed like people from canton district. Unfortunately to get the good service U have to speak Mandarin/Cantonese. I do speak a smattering but try not to use it as I never feel confident about the intonation. 
The dish came out with zichini and bell peppers (what!??)  Where is the peanuts the dried fried red peppers and the large pieces of scallion. On pointing this out all I got was " Oh you like peanuts.. ok I will put some on" and she then proceeded to get some peanuts and sprinkle it on the chicken.
Well at that point I was happy that atleast the chicken pieces were present else she would probably end up sprinkling raw chicken pieces on it like the raw peanuts she dumped on top of the food. 
Well then  I spoke a few chinese words and the scowl turned into a smile and she then became a bit more friendlier. 
Unfortunately I do not condone this type of behavior. It is all in poor taste...</t>
  </si>
  <si>
    <t>Zgp9T6IOVFOozrWDw_mUGQ</t>
  </si>
  <si>
    <t>omMDENP3jXFF_lJ5UI5Rog</t>
  </si>
  <si>
    <t>I had a hankering for raw fish today and decided to give Moto a try.  Overall I was pleased.
The menu had a wide variety of tempting Asian treats but I was here for fish, so I ordered the sashimi combo with a bowl of Miso.
The soup was a bit odd.  It seemed to be normal Miso soup with some shredded cabbage tossed in.  The cabbage added a texture that I didn't really want but it was easy to eat around it.
The presentation of the sashimi was interesting.  I had a pinwheel of fishy goodness with yellowtail, smoked salmon and tuna.  The fish tasted quite fresh and the portions were generous.
When I need a sushi fix for lunch I'll be returning to Moto.</t>
  </si>
  <si>
    <t>ND95DgvN7ba8MabfXE3lsw</t>
  </si>
  <si>
    <t>eIxSLxzIlfExI6vgAbn2JA</t>
  </si>
  <si>
    <t>y7yBnfbPxZJ_L93tnxMP3g</t>
  </si>
  <si>
    <t>Was extremely psyched to try Lobby's, considering all of the great reviews, but I was sadly disappointed with the results. I'm a freak for Chili burgers (good ones are very difficult to find) and The Lobby's Chili burger was fairly dull, featured Cinci style Chili (BLAH) and like. some sort of cheese whiz kinda crap.  Boo. Also ordered fries, and a Chicago dog.. the Chicago dog was overpriced and forgettable, and the crinkle cut fries were reminiscent of Del Taco's.. which isn't exactly a bad thing, but considering that Lobby's is supposed to be a tasty, quality burger place, frozen crinkle fries are kind of a half assed approach.. ALSO the amount of salt on the fries was enough to invoke a stroke! :x  Finally whoever dude was that handed me my bag of food was all like ZIPPY DOO I GAVE YOU A CUP OF FRENCH FRY SAUCE.. There were two orders of fries.. one cup of sauce.. which was just basic secret sauce.. not super great... secret sauce, to boot.. Thanks bro, but I don't need any secret sauce favors.</t>
  </si>
  <si>
    <t>nbofxFWHORebBHh10OgYLA</t>
  </si>
  <si>
    <t>Hf_MFIPi7ZiIWDQodJMzwg</t>
  </si>
  <si>
    <t>9l7FzgtZobP81lMwEQy4AA</t>
  </si>
  <si>
    <t>Great service</t>
  </si>
  <si>
    <t>9VmTOyq01oIUk5zuxOj1GA</t>
  </si>
  <si>
    <t>gMY_3RkmK2eeD9SHlBKfCg</t>
  </si>
  <si>
    <t>qtOMqRS8K03QTisX-2ddYQ</t>
  </si>
  <si>
    <t>My favorite Starbucks in Mesa. It's not even the closest one to my home, but worth the experience. GREAT staff.</t>
  </si>
  <si>
    <t>8-mw_aotUGmP0k0s6QKwOA</t>
  </si>
  <si>
    <t>T4VsuYbgEqp1n_FghmFg2w</t>
  </si>
  <si>
    <t>TUjdm0FLco2-nGS-UVryvg</t>
  </si>
  <si>
    <t>I love this place! Great flavors, love the tiny gummy bear toppings.
One thing I don't like is the inconsistent hours. One day they'll be open at 8, the next time they close at 7:30. When our yogurt craving hits, we'd love to patronize Woody's, but never know if they're going to be open.
I tried over and over to call one night, and the phone was just constantly busy. A little frustrating!
I do enjoy their yogurt, but with the weird hours, and so-so feel from the staff it's hard to give them more than 3 stars.</t>
  </si>
  <si>
    <t>F8C1lM853UmUed3jb7j-_g</t>
  </si>
  <si>
    <t>yv9gVqydta-y8NHQQ3XPRw</t>
  </si>
  <si>
    <t>D_pEME20C-srxu-D8Se14A</t>
  </si>
  <si>
    <t>First, I hope La Fonda management reads these reviews and takes steps to improve their restaurant.  Second, we miss the bloody mary bar too.  Hubby &amp; I visited LF a few weeks ago on a Saturday night for dinner. We asked the waitress a general question about a beer and she made something up that was ridiculously wrong.  Okay, she doesn't know beer.  We liked the chips &amp; salsa, it was a good start, then I took a sip of my water.  What the?  I know what Tempe tap water tastes like, but this was weird.  The aftertaste made me cringe, I couldn't drink it, even with a slice of lemon in it, maybe it was the ice.  Hubby ordered chicken enchiladas, which he orders practically everywhere, and it was so bad he didn't finish it.  My meal was not memorable either.  I wanted to love this place, or at least like it.  We walked out of there terribly disappointed, I doubt we'll go back.</t>
  </si>
  <si>
    <t>vKs0r5yZhfJYdBSd0J1a3Q</t>
  </si>
  <si>
    <t>Tmzzn7JyCoMgeb-IYRNlGQ</t>
  </si>
  <si>
    <t>MqSH98OjzTqj6J0FyN9YUA</t>
  </si>
  <si>
    <t>This is a nothing but pies place...so I was expecting a little bit more oomph...
Dispointing small selection of pie by the slices...also you gotta put in special order ahead of time for the more interesting stuff like Italian Ricotta.  
I was going to order something with berries, but the stuff I saw in the case was just runny and wet looking...so I ended up with a black-bottom pie...I really liked the flaky crust and the filling wasn't bad except for the fact that it did taste a bit over refrigerated.  
A minor gripe is the airpot coffee...not freshly brewed...despite the espresso machine clearly visibile behind the counter.
The pies are just over $4 per slice and ~$20 per pie.</t>
  </si>
  <si>
    <t>8WQubmP7G0NM3IyzyMnCEA</t>
  </si>
  <si>
    <t>l3yL2rQ6PoFBQ06RLczn9w</t>
  </si>
  <si>
    <t>Cluf-ijd2Ubr0hoVjLXoSQ</t>
  </si>
  <si>
    <t>I'd say I've been to the Clubhouse a few times a year over the past five years or so. Does that make me the most knowledgeable person on the venue? By all means, no. But, there are some very common themes among the shows I've seen here, even though the artists were different genres, different, crowds, and even different times of year. 
The sound quality is terrible. The last three bands that I have seen there (and have seen in other venues as well) all complained that they couldn't get the sound right on their monitors or in the house. To me, that's a major turn off, if the band isn't happy with their sound, are they going to be very motivated to play? Maybe it's a slighted observation, but it seems that the only bands that return to this venue, are the ones that play music, where the sound quality isn't...let's say "sacrificed or as important" (metal, hardcore, thrasher, hip-hop, whatever you call it). 
The venue is also hot. I don't read the reviews of others, before I review a location, because I don't want my opinions to be skewed, but I noticed someone said, "don't wear pants," honestly, that's a really good tip. The last show I saw here was in June. I know, it's Phoenix, in the summer, suck it up. But when you exit the venue and it is noticeably and significantly "cooler" than inside the venue, we've got issues, can they not afford to run the a/c? 
The answer to that question is, maybe not. The bar is understaffed, and patrons seem to be lined up 3+ deep, all around. Sometimes you've got to spend money to make money. Hire more bartenders, customers get served faster, thus allowing them more time to consume the beverage and purchase more. That means you can sell more, which means you will make more money! What a concept. 
Hate to just destroy a business, but hopefully they will heed the feedback constructively. Until then, remember: if you've always wanted to hear the artist you are going to see in a low-fi format, here's your chance, if you have always wanted to forgo wearing those pantaloons, I support you, and finally, you should craft a clever way to hide a flask, since you won't get served, although this might be difficult sans bottoms.</t>
  </si>
  <si>
    <t>80PHOfM8KOBb7xEQN4C0lg</t>
  </si>
  <si>
    <t>TbaAnzOTX2-boTbAp3e8Qw</t>
  </si>
  <si>
    <t>nOksR3WGXn8iuZwTyUX9qw</t>
  </si>
  <si>
    <t>I liked the tortillas:  handmade, rich and salty.  I thought the food was decent.  I thought service was okay.  I am not new to Mexican food, I know what I want:  when I say I want cheese and cilantro and tomatillo salsa,  please give it to me.  They charged me and extra dollar for had smattering of queso fresca.  Boo.  I liked the mango-pineapple aqua, super sweet and clean flavor.  I would go back, maybe.</t>
  </si>
  <si>
    <t>tePGwo_ZH1Hu9bkCNhMJmw</t>
  </si>
  <si>
    <t>E0fZHHInMb6xscHDrPlh4Q</t>
  </si>
  <si>
    <t>dY7pGUx7LbbRQYwt9xGawQ</t>
  </si>
  <si>
    <t>Back from holiday and had some amazing soups that made me reflect back on my experience here.  I have to preface this review with that the owner here is quite lovely and I'm sure has the best intentions, but unfortunately the soup was sorely lacking.  As a proponent of organics, I had my hopes way too high.  Well, first of all it was a bit confusing if we were to order at the counter from a very smudged, unreadable chalk board or if we were to be seated.  The owner appeared from the kitchen and said to have a seat eliminating our initial confusion.  To keep this review to the point, we ordered a smoothie, bland.  A frittata, very small and actually strange as if it might have been cooked in the microwave, need I say more.  Two bowls of soup, one was a bean with kale, unfortunately the beans were not thoroughly cooked and the flavor was not allowed to develop.  The other a red pepper concoction, that another diner suggested, was one dimensional and needed copious amounts of help sprinkled with some love.  
When paying these boutique prices one expects and should get a better quality, culinary creation.  These soups needed proper development and herbal infusions that the kitchen obviously lacks.  I would like to offer a suggestion that may help her, so she can spend more time with the soup prep and less time running around the table up front, and that is to consider a different style of service.  The place is so small that she could have customers order from the chalkboard, if readable, and then deliver the orders.  I wish her the best in her endeavor.</t>
  </si>
  <si>
    <t>OpUXG69nP4YjlEZDlkdVcQ</t>
  </si>
  <si>
    <t>QIHyWCBG3ftvXbGdHQKdHw</t>
  </si>
  <si>
    <t>Dv9iSQe9s_kn5uuhy0iM_w</t>
  </si>
  <si>
    <t>Not that any SBUX is worth going out of your way for, but this one is worth skipping. The service I've experienced each time I've been is pretty dang poor and the drinks always seem quite cold.</t>
  </si>
  <si>
    <t>QiLOh5KHp81eiju-n-z1Ng</t>
  </si>
  <si>
    <t>Cu6EG_rAd25OjCGzRCPxMg</t>
  </si>
  <si>
    <t>The food was flavorful and plenty of it. Eating with only your fingers is quite fun - make your momma proud. My girlfriend won the best dish of the night - lentils and chicken and cabage/carrots. It all had kind of sweetish/bitterish/spicy flavor. I had the lamb and jalapeÃ±o dish, which was kind of greasy. You eat with your fingers and can scoop up the food with the bread they give you - a tartish type crepe, which goes well with the food. I'd be happy to go back and try something different.  If you are used to frozen pizzas and Burger King, you might want to stick with that as this experience might bit be as enjoyable as those who are more open to what they consume.</t>
  </si>
  <si>
    <t>DjMYfLoL9KsTIcvOMxwkhg</t>
  </si>
  <si>
    <t>ohxd8La86GdC_3vgwBWLHA</t>
  </si>
  <si>
    <t>Jf3NgqescF1ZtQpH4vR-Nw</t>
  </si>
  <si>
    <t>Thank you Yelp for my first opportunity to enjoy Gammage.
Impressive architecture and design (it is also mostly functional)!  
The seats are roomier than expected and the rows have just enough room between them to allow people to pass relatively easily in front of you without having to stand up to let them through.[Relative to US Airways Center seats which outside of Lexus Club and courtside seats are several inches narrower than the ones at Gammage and you have to stand up every time someone needs to pass.]
Having the room to pass easily is nice, especially if you are seated in the middle of the auditorium, since you have to pass in front of at least 30 people just to get to your seat if your, say, running late or need to escape to the restroom.  
This is also a negative especially if you are the crowd-fearing  or clostrophobic type, there are not good "outs" from the center.  
I think it is wonderful to have a location that hosts wonderful Broadway performances and a variety of other artistic entertainment/performances.</t>
  </si>
  <si>
    <t>usQTOj7LQ9v0Fl98gRa3Iw</t>
  </si>
  <si>
    <t>3n9mSKySEv3G03YjcU-YOQ</t>
  </si>
  <si>
    <t>dMVOvh4ipz3VV_jRf-qZ9w</t>
  </si>
  <si>
    <t>I honestly have only positive things to say about Postino's since every one of my visits here has been very pleasant. From the valet who is running his ass off to the food and everything in between, this place does it all right! If you go here hungry, you should know that your options are basically a panini, a salad or some bruschetta. I've had a little bit of everything and for the value and quality you can't go wrong the the bruschetta. I recently determined my favorite to be the ricotta, dates and pistachio but a close second is the salami and pesto.
Wine by the glass can be a bit steep so if you're planning to stay for a bit and can agree on a style with your company, you might be better off getting a bottle. A bottle is pretty much 3x the price of a glass so you end up getting 1 1/2 glasses extra. Bonus!
Someday, I'll actually take advantage of their $20 deal for wine and bruschetta!</t>
  </si>
  <si>
    <t>upssaszVG_egJVRKBU5Dzg</t>
  </si>
  <si>
    <t>ntN85eu27C04nwyPa8IHtw</t>
  </si>
  <si>
    <t>s2NkuLh0UBmCvHvLwJFBPQ</t>
  </si>
  <si>
    <t>I'm  going to stop being such a taker, and give for once! I use Yelp along with other reputable websites to help make my dining, travel and shopping decisions and I never take the time to give back!! I know, I know....awful. I'm turning over a new leaf! Here is my first Yelp. Please don't judge. It's my first time.... Okay, here goes. So, I went to Matt's for the first time a few days ago....
Food- Amazing.  Best pancakes ever! I'm not sure what the secret ingredient is but they are beyond good! Fluffy little cakes of love. I also tasted the butter burger. Very, very, yummy. If you decide to dine here make sure you try the bacon. I don't think I've ever tasted anything like it. Sweet, savory and cooked just right.
The building is very small, the wait is extra long and make sure you don't overindulge on the free refills of ice tea because there is NO BATHROOM!! The seating is cramped and the service is rushed, but the food is worth dealing with Matt's shortcomings.</t>
  </si>
  <si>
    <t>wdtoa9VgowEdiYudN8T1YQ</t>
  </si>
  <si>
    <t>m7uxAxL9L3kuB8XWkoveHQ</t>
  </si>
  <si>
    <t>LYc0qoZTS8L0U_NvIaYwYA</t>
  </si>
  <si>
    <t>over 20 visits - and no rvw?  wow - i must be loosing it.
When I walk through the beautiful shoping district of Kierland, it is always fun to window shop - ok gotta go in! - and touch, feel, ooo, ya - and dream about having my home decorated with all thier furnishings... as soon as i win the lottery.. or something... almost there.  (maybe i should stop travelling......... nah...)
anyWHO - you CAN find some GR8 little snags: from candles, to books, vases, martini glasses (always a must, since somehow - not sure why, mine keep getting smashed - maybe goes hand-in-hand with vodka + consumption + beautiful galsses = tipsy, topsy, turvy - crash)
I always enjoy looking, (and usually grabbing something i "need" ya, right) and thinking about where or what I might get for a gift - naaaaaaah - for me!  next...</t>
  </si>
  <si>
    <t>h7v_M_0-YVpSVZ2WD7FpAA</t>
  </si>
  <si>
    <t>glpdHF7XlpUQUs1Jpxv4SQ</t>
  </si>
  <si>
    <t>bFC3YitoCJgUuXAVVDMkXQ</t>
  </si>
  <si>
    <t>we went back here again this past weekend...actually we went there 3 more times this past weekend alone!  we couldn't resist the awesome service and great prices...and great live music.  this is definately going to be one of our "regular joints."  if you like the country...country girls....and good old rowdy shit..then stop by and check it out for yourself.  i bet you will like this place.  
there is a large dance floor for some shit kickin' ...about 3 pool tables..big buck hunter and an outdoor area for smokin and boozin and dart throwin'.  i love this place.  this is what toby keith should have been singing about...seriously!</t>
  </si>
  <si>
    <t>scxmg3Pu_jjpXSyFWH8-Cg</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</si>
</sst>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3">
    <xf numFmtId="0" fontId="0" fillId="0" borderId="0" xfId="0"/>
    <xf numFmtId="14"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001"/>
  <sheetViews>
    <sheetView tabSelected="1" topLeftCell="A290" workbookViewId="0">
      <selection activeCell="A307" sqref="A307"/>
    </sheetView>
  </sheetViews>
  <sheetFormatPr defaultRowHeight="14.5" x14ac:dyDescent="0.35"/>
  <cols>
    <col min="1" max="1" width="30.36328125" bestFit="1" customWidth="1"/>
    <col min="2" max="2" width="10.453125" bestFit="1" customWidth="1"/>
    <col min="3" max="3" width="28.36328125" bestFit="1" customWidth="1"/>
    <col min="4" max="4" width="4.81640625" bestFit="1" customWidth="1"/>
    <col min="5" max="5" width="255.6328125" bestFit="1" customWidth="1"/>
    <col min="6" max="6" width="6.36328125" bestFit="1" customWidth="1"/>
    <col min="7" max="7" width="28.7265625" bestFit="1" customWidth="1"/>
    <col min="8" max="8" width="4.26953125" bestFit="1" customWidth="1"/>
    <col min="9" max="9" width="5.90625" bestFit="1" customWidth="1"/>
    <col min="10" max="10" width="5.6328125" bestFit="1" customWidth="1"/>
  </cols>
  <sheetData>
    <row r="1" spans="1:10" x14ac:dyDescent="0.35">
      <c r="A1" t="s">
        <v>0</v>
      </c>
      <c r="B1" t="s">
        <v>1</v>
      </c>
      <c r="C1" t="s">
        <v>2</v>
      </c>
      <c r="D1" t="s">
        <v>3</v>
      </c>
      <c r="E1" t="s">
        <v>4</v>
      </c>
      <c r="F1" t="s">
        <v>5</v>
      </c>
      <c r="G1" t="s">
        <v>6</v>
      </c>
      <c r="H1" t="s">
        <v>7</v>
      </c>
      <c r="I1" t="s">
        <v>8</v>
      </c>
      <c r="J1" t="s">
        <v>9</v>
      </c>
    </row>
    <row r="2" spans="1:10" x14ac:dyDescent="0.35">
      <c r="A2" t="s">
        <v>10</v>
      </c>
      <c r="B2" s="1">
        <v>40569</v>
      </c>
      <c r="C2" t="s">
        <v>11</v>
      </c>
      <c r="D2">
        <v>5</v>
      </c>
      <c r="E2" s="2" t="s">
        <v>12</v>
      </c>
      <c r="F2" t="s">
        <v>13</v>
      </c>
      <c r="G2" t="s">
        <v>14</v>
      </c>
      <c r="H2">
        <v>2</v>
      </c>
      <c r="I2">
        <v>5</v>
      </c>
      <c r="J2">
        <v>0</v>
      </c>
    </row>
    <row r="3" spans="1:10" x14ac:dyDescent="0.35">
      <c r="A3" t="s">
        <v>15</v>
      </c>
      <c r="B3" s="1">
        <v>40751</v>
      </c>
      <c r="C3" t="s">
        <v>16</v>
      </c>
      <c r="D3">
        <v>5</v>
      </c>
      <c r="E3" s="2" t="s">
        <v>17</v>
      </c>
      <c r="F3" t="s">
        <v>13</v>
      </c>
      <c r="G3" t="s">
        <v>18</v>
      </c>
      <c r="H3">
        <v>0</v>
      </c>
      <c r="I3">
        <v>0</v>
      </c>
      <c r="J3">
        <v>0</v>
      </c>
    </row>
    <row r="4" spans="1:10" x14ac:dyDescent="0.35">
      <c r="A4" t="s">
        <v>19</v>
      </c>
      <c r="B4" s="1">
        <v>41074</v>
      </c>
      <c r="C4" t="s">
        <v>20</v>
      </c>
      <c r="D4">
        <v>4</v>
      </c>
      <c r="E4" t="s">
        <v>21</v>
      </c>
      <c r="F4" t="s">
        <v>13</v>
      </c>
      <c r="G4" t="s">
        <v>22</v>
      </c>
      <c r="H4">
        <v>0</v>
      </c>
      <c r="I4">
        <v>1</v>
      </c>
      <c r="J4">
        <v>0</v>
      </c>
    </row>
    <row r="5" spans="1:10" x14ac:dyDescent="0.35">
      <c r="A5" t="s">
        <v>23</v>
      </c>
      <c r="B5" s="1">
        <v>40325</v>
      </c>
      <c r="C5" t="s">
        <v>24</v>
      </c>
      <c r="D5">
        <v>5</v>
      </c>
      <c r="E5" s="2" t="s">
        <v>25</v>
      </c>
      <c r="F5" t="s">
        <v>13</v>
      </c>
      <c r="G5" t="s">
        <v>26</v>
      </c>
      <c r="H5">
        <v>1</v>
      </c>
      <c r="I5">
        <v>2</v>
      </c>
      <c r="J5">
        <v>0</v>
      </c>
    </row>
    <row r="6" spans="1:10" x14ac:dyDescent="0.35">
      <c r="A6" t="s">
        <v>27</v>
      </c>
      <c r="B6" s="1">
        <v>40913</v>
      </c>
      <c r="C6" t="s">
        <v>28</v>
      </c>
      <c r="D6">
        <v>5</v>
      </c>
      <c r="E6" s="2" t="s">
        <v>29</v>
      </c>
      <c r="F6" t="s">
        <v>13</v>
      </c>
      <c r="G6" t="s">
        <v>30</v>
      </c>
      <c r="H6">
        <v>0</v>
      </c>
      <c r="I6">
        <v>0</v>
      </c>
      <c r="J6">
        <v>0</v>
      </c>
    </row>
    <row r="7" spans="1:10" x14ac:dyDescent="0.35">
      <c r="A7" t="e">
        <f>-yxfBYGB6SEqszmxJxd97A</f>
        <v>#NAME?</v>
      </c>
      <c r="B7" s="1">
        <v>39429</v>
      </c>
      <c r="C7" t="s">
        <v>31</v>
      </c>
      <c r="D7">
        <v>4</v>
      </c>
      <c r="E7" s="2" t="s">
        <v>32</v>
      </c>
      <c r="F7" t="s">
        <v>13</v>
      </c>
      <c r="G7" t="s">
        <v>33</v>
      </c>
      <c r="H7">
        <v>4</v>
      </c>
      <c r="I7">
        <v>3</v>
      </c>
      <c r="J7">
        <v>1</v>
      </c>
    </row>
    <row r="8" spans="1:10" x14ac:dyDescent="0.35">
      <c r="A8" t="s">
        <v>34</v>
      </c>
      <c r="B8" s="1">
        <v>40221</v>
      </c>
      <c r="C8" t="s">
        <v>35</v>
      </c>
      <c r="D8">
        <v>5</v>
      </c>
      <c r="E8" s="2" t="s">
        <v>36</v>
      </c>
      <c r="F8" t="s">
        <v>13</v>
      </c>
      <c r="G8" t="s">
        <v>37</v>
      </c>
      <c r="H8">
        <v>7</v>
      </c>
      <c r="I8">
        <v>7</v>
      </c>
      <c r="J8">
        <v>4</v>
      </c>
    </row>
    <row r="9" spans="1:10" x14ac:dyDescent="0.35">
      <c r="A9" t="s">
        <v>38</v>
      </c>
      <c r="B9" s="1">
        <v>41102</v>
      </c>
      <c r="C9" t="s">
        <v>39</v>
      </c>
      <c r="D9">
        <v>4</v>
      </c>
      <c r="E9" s="2" t="s">
        <v>40</v>
      </c>
      <c r="F9" t="s">
        <v>13</v>
      </c>
      <c r="G9" t="s">
        <v>41</v>
      </c>
      <c r="H9">
        <v>0</v>
      </c>
      <c r="I9">
        <v>1</v>
      </c>
      <c r="J9">
        <v>0</v>
      </c>
    </row>
    <row r="10" spans="1:10" x14ac:dyDescent="0.35">
      <c r="A10" t="s">
        <v>42</v>
      </c>
      <c r="B10" s="1">
        <v>41138</v>
      </c>
      <c r="C10" t="s">
        <v>43</v>
      </c>
      <c r="D10">
        <v>4</v>
      </c>
      <c r="E10" t="s">
        <v>44</v>
      </c>
      <c r="F10" t="s">
        <v>13</v>
      </c>
      <c r="G10" t="s">
        <v>45</v>
      </c>
      <c r="H10">
        <v>0</v>
      </c>
      <c r="I10">
        <v>0</v>
      </c>
      <c r="J10">
        <v>0</v>
      </c>
    </row>
    <row r="11" spans="1:10" x14ac:dyDescent="0.35">
      <c r="A11" t="s">
        <v>46</v>
      </c>
      <c r="B11" s="1">
        <v>40401</v>
      </c>
      <c r="C11" t="s">
        <v>47</v>
      </c>
      <c r="D11">
        <v>5</v>
      </c>
      <c r="E11" t="s">
        <v>48</v>
      </c>
      <c r="F11" t="s">
        <v>13</v>
      </c>
      <c r="G11" t="s">
        <v>49</v>
      </c>
      <c r="H11">
        <v>0</v>
      </c>
      <c r="I11">
        <v>1</v>
      </c>
      <c r="J11">
        <v>0</v>
      </c>
    </row>
    <row r="12" spans="1:10" x14ac:dyDescent="0.35">
      <c r="A12" t="s">
        <v>50</v>
      </c>
      <c r="B12" s="1">
        <v>40345</v>
      </c>
      <c r="C12" t="s">
        <v>51</v>
      </c>
      <c r="D12">
        <v>5</v>
      </c>
      <c r="E12" s="2" t="s">
        <v>52</v>
      </c>
      <c r="F12" t="s">
        <v>13</v>
      </c>
      <c r="G12" t="e">
        <f>-OMlS6yWkYjVldNhC31wYg</f>
        <v>#NAME?</v>
      </c>
      <c r="H12">
        <v>1</v>
      </c>
      <c r="I12">
        <v>3</v>
      </c>
      <c r="J12">
        <v>1</v>
      </c>
    </row>
    <row r="13" spans="1:10" x14ac:dyDescent="0.35">
      <c r="A13" t="s">
        <v>53</v>
      </c>
      <c r="B13" s="1">
        <v>40837</v>
      </c>
      <c r="C13" t="s">
        <v>54</v>
      </c>
      <c r="D13">
        <v>5</v>
      </c>
      <c r="E13" t="s">
        <v>55</v>
      </c>
      <c r="F13" t="s">
        <v>13</v>
      </c>
      <c r="G13" t="s">
        <v>56</v>
      </c>
      <c r="H13">
        <v>1</v>
      </c>
      <c r="I13">
        <v>1</v>
      </c>
      <c r="J13">
        <v>0</v>
      </c>
    </row>
    <row r="14" spans="1:10" x14ac:dyDescent="0.35">
      <c r="A14" t="s">
        <v>57</v>
      </c>
      <c r="B14" s="1">
        <v>40189</v>
      </c>
      <c r="C14" t="s">
        <v>58</v>
      </c>
      <c r="D14">
        <v>5</v>
      </c>
      <c r="E14" s="2" t="s">
        <v>59</v>
      </c>
      <c r="F14" t="s">
        <v>13</v>
      </c>
      <c r="G14" t="s">
        <v>60</v>
      </c>
      <c r="H14">
        <v>1</v>
      </c>
      <c r="I14">
        <v>2</v>
      </c>
      <c r="J14">
        <v>0</v>
      </c>
    </row>
    <row r="15" spans="1:10" x14ac:dyDescent="0.35">
      <c r="A15" t="s">
        <v>61</v>
      </c>
      <c r="B15" s="1">
        <v>40900</v>
      </c>
      <c r="C15" t="s">
        <v>62</v>
      </c>
      <c r="D15">
        <v>4</v>
      </c>
      <c r="E15" t="s">
        <v>63</v>
      </c>
      <c r="F15" t="s">
        <v>13</v>
      </c>
      <c r="G15" t="s">
        <v>64</v>
      </c>
      <c r="H15">
        <v>1</v>
      </c>
      <c r="I15">
        <v>2</v>
      </c>
      <c r="J15">
        <v>0</v>
      </c>
    </row>
    <row r="16" spans="1:10" x14ac:dyDescent="0.35">
      <c r="A16" t="s">
        <v>65</v>
      </c>
      <c r="B16" s="1">
        <v>40318</v>
      </c>
      <c r="C16" t="s">
        <v>66</v>
      </c>
      <c r="D16">
        <v>4</v>
      </c>
      <c r="E16" s="2" t="s">
        <v>67</v>
      </c>
      <c r="F16" t="s">
        <v>13</v>
      </c>
      <c r="G16" t="s">
        <v>68</v>
      </c>
      <c r="H16">
        <v>1</v>
      </c>
      <c r="I16">
        <v>1</v>
      </c>
      <c r="J16">
        <v>0</v>
      </c>
    </row>
    <row r="17" spans="1:10" x14ac:dyDescent="0.35">
      <c r="A17" t="s">
        <v>69</v>
      </c>
      <c r="B17" s="1">
        <v>40622</v>
      </c>
      <c r="C17" t="s">
        <v>70</v>
      </c>
      <c r="D17">
        <v>2</v>
      </c>
      <c r="E17" s="2" t="s">
        <v>71</v>
      </c>
      <c r="F17" t="s">
        <v>13</v>
      </c>
      <c r="G17" t="s">
        <v>72</v>
      </c>
      <c r="H17">
        <v>0</v>
      </c>
      <c r="I17">
        <v>2</v>
      </c>
      <c r="J17">
        <v>0</v>
      </c>
    </row>
    <row r="18" spans="1:10" x14ac:dyDescent="0.35">
      <c r="A18" t="s">
        <v>73</v>
      </c>
      <c r="B18" s="1">
        <v>39733</v>
      </c>
      <c r="C18" t="s">
        <v>74</v>
      </c>
      <c r="D18">
        <v>3</v>
      </c>
      <c r="E18" s="2" t="s">
        <v>75</v>
      </c>
      <c r="F18" t="s">
        <v>13</v>
      </c>
      <c r="G18" t="s">
        <v>76</v>
      </c>
      <c r="H18">
        <v>3</v>
      </c>
      <c r="I18">
        <v>4</v>
      </c>
      <c r="J18">
        <v>2</v>
      </c>
    </row>
    <row r="19" spans="1:10" x14ac:dyDescent="0.35">
      <c r="A19" t="s">
        <v>77</v>
      </c>
      <c r="B19" s="1">
        <v>40301</v>
      </c>
      <c r="C19" t="s">
        <v>78</v>
      </c>
      <c r="D19">
        <v>5</v>
      </c>
      <c r="E19" t="s">
        <v>79</v>
      </c>
      <c r="F19" t="s">
        <v>13</v>
      </c>
      <c r="G19" t="s">
        <v>80</v>
      </c>
      <c r="H19">
        <v>0</v>
      </c>
      <c r="I19">
        <v>0</v>
      </c>
      <c r="J19">
        <v>0</v>
      </c>
    </row>
    <row r="20" spans="1:10" x14ac:dyDescent="0.35">
      <c r="A20" t="s">
        <v>81</v>
      </c>
      <c r="B20" s="1">
        <v>39878</v>
      </c>
      <c r="C20" t="s">
        <v>82</v>
      </c>
      <c r="D20">
        <v>3</v>
      </c>
      <c r="E20" s="2" t="s">
        <v>83</v>
      </c>
      <c r="F20" t="s">
        <v>13</v>
      </c>
      <c r="G20" t="s">
        <v>84</v>
      </c>
      <c r="H20">
        <v>5</v>
      </c>
      <c r="I20">
        <v>6</v>
      </c>
      <c r="J20">
        <v>4</v>
      </c>
    </row>
    <row r="21" spans="1:10" x14ac:dyDescent="0.35">
      <c r="A21" t="s">
        <v>85</v>
      </c>
      <c r="B21" s="1">
        <v>40864</v>
      </c>
      <c r="C21" t="s">
        <v>86</v>
      </c>
      <c r="D21">
        <v>4</v>
      </c>
      <c r="E21" s="2" t="s">
        <v>87</v>
      </c>
      <c r="F21" t="s">
        <v>13</v>
      </c>
      <c r="G21" t="s">
        <v>88</v>
      </c>
      <c r="H21">
        <v>1</v>
      </c>
      <c r="I21">
        <v>1</v>
      </c>
      <c r="J21">
        <v>1</v>
      </c>
    </row>
    <row r="22" spans="1:10" x14ac:dyDescent="0.35">
      <c r="A22" t="s">
        <v>89</v>
      </c>
      <c r="B22" s="1">
        <v>39729</v>
      </c>
      <c r="C22" t="s">
        <v>90</v>
      </c>
      <c r="D22">
        <v>3</v>
      </c>
      <c r="E22" s="2" t="s">
        <v>91</v>
      </c>
      <c r="F22" t="s">
        <v>13</v>
      </c>
      <c r="G22" t="s">
        <v>92</v>
      </c>
      <c r="H22">
        <v>2</v>
      </c>
      <c r="I22">
        <v>4</v>
      </c>
      <c r="J22">
        <v>1</v>
      </c>
    </row>
    <row r="23" spans="1:10" x14ac:dyDescent="0.35">
      <c r="A23" t="s">
        <v>93</v>
      </c>
      <c r="B23" s="1">
        <v>40722</v>
      </c>
      <c r="C23" t="s">
        <v>94</v>
      </c>
      <c r="D23">
        <v>5</v>
      </c>
      <c r="E23" t="s">
        <v>95</v>
      </c>
      <c r="F23" t="s">
        <v>13</v>
      </c>
      <c r="G23" t="s">
        <v>96</v>
      </c>
      <c r="H23">
        <v>1</v>
      </c>
      <c r="I23">
        <v>1</v>
      </c>
      <c r="J23">
        <v>2</v>
      </c>
    </row>
    <row r="24" spans="1:10" x14ac:dyDescent="0.35">
      <c r="A24" t="s">
        <v>97</v>
      </c>
      <c r="B24" s="1">
        <v>40737</v>
      </c>
      <c r="C24" t="s">
        <v>98</v>
      </c>
      <c r="D24">
        <v>5</v>
      </c>
      <c r="E24" t="s">
        <v>99</v>
      </c>
      <c r="F24" t="s">
        <v>13</v>
      </c>
      <c r="G24" t="s">
        <v>100</v>
      </c>
      <c r="H24">
        <v>0</v>
      </c>
      <c r="I24">
        <v>0</v>
      </c>
      <c r="J24">
        <v>0</v>
      </c>
    </row>
    <row r="25" spans="1:10" x14ac:dyDescent="0.35">
      <c r="A25" t="s">
        <v>101</v>
      </c>
      <c r="B25" s="1">
        <v>40426</v>
      </c>
      <c r="C25" t="s">
        <v>102</v>
      </c>
      <c r="D25">
        <v>1</v>
      </c>
      <c r="E25" t="s">
        <v>103</v>
      </c>
      <c r="F25" t="s">
        <v>13</v>
      </c>
      <c r="G25" t="s">
        <v>104</v>
      </c>
      <c r="H25">
        <v>0</v>
      </c>
      <c r="I25">
        <v>1</v>
      </c>
      <c r="J25">
        <v>1</v>
      </c>
    </row>
    <row r="26" spans="1:10" x14ac:dyDescent="0.35">
      <c r="A26" t="s">
        <v>105</v>
      </c>
      <c r="B26" s="1">
        <v>40685</v>
      </c>
      <c r="C26" t="s">
        <v>106</v>
      </c>
      <c r="D26">
        <v>5</v>
      </c>
      <c r="E26" s="2" t="s">
        <v>107</v>
      </c>
      <c r="F26" t="s">
        <v>13</v>
      </c>
      <c r="G26" t="s">
        <v>108</v>
      </c>
      <c r="H26">
        <v>0</v>
      </c>
      <c r="I26">
        <v>1</v>
      </c>
      <c r="J26">
        <v>0</v>
      </c>
    </row>
    <row r="27" spans="1:10" x14ac:dyDescent="0.35">
      <c r="A27" t="s">
        <v>109</v>
      </c>
      <c r="B27" s="1">
        <v>40324</v>
      </c>
      <c r="C27" t="s">
        <v>110</v>
      </c>
      <c r="D27">
        <v>4</v>
      </c>
      <c r="E27" s="2" t="s">
        <v>111</v>
      </c>
      <c r="F27" t="s">
        <v>13</v>
      </c>
      <c r="G27" t="s">
        <v>14</v>
      </c>
      <c r="H27">
        <v>0</v>
      </c>
      <c r="I27">
        <v>0</v>
      </c>
      <c r="J27">
        <v>0</v>
      </c>
    </row>
    <row r="28" spans="1:10" x14ac:dyDescent="0.35">
      <c r="A28" t="s">
        <v>112</v>
      </c>
      <c r="B28" s="1">
        <v>41277</v>
      </c>
      <c r="C28" t="s">
        <v>113</v>
      </c>
      <c r="D28">
        <v>5</v>
      </c>
      <c r="E28" s="2" t="s">
        <v>114</v>
      </c>
      <c r="F28" t="s">
        <v>13</v>
      </c>
      <c r="G28" t="s">
        <v>115</v>
      </c>
      <c r="H28">
        <v>0</v>
      </c>
      <c r="I28">
        <v>0</v>
      </c>
      <c r="J28">
        <v>0</v>
      </c>
    </row>
    <row r="29" spans="1:10" x14ac:dyDescent="0.35">
      <c r="A29" t="s">
        <v>116</v>
      </c>
      <c r="B29" s="1">
        <v>39528</v>
      </c>
      <c r="C29" t="s">
        <v>117</v>
      </c>
      <c r="D29">
        <v>4</v>
      </c>
      <c r="E29" s="2" t="s">
        <v>118</v>
      </c>
      <c r="F29" t="s">
        <v>13</v>
      </c>
      <c r="G29" t="s">
        <v>119</v>
      </c>
      <c r="H29">
        <v>2</v>
      </c>
      <c r="I29">
        <v>4</v>
      </c>
      <c r="J29">
        <v>1</v>
      </c>
    </row>
    <row r="30" spans="1:10" x14ac:dyDescent="0.35">
      <c r="A30" t="s">
        <v>120</v>
      </c>
      <c r="B30" s="1">
        <v>40632</v>
      </c>
      <c r="C30" t="s">
        <v>121</v>
      </c>
      <c r="D30">
        <v>4</v>
      </c>
      <c r="E30" t="s">
        <v>122</v>
      </c>
      <c r="F30" t="s">
        <v>13</v>
      </c>
      <c r="G30" t="s">
        <v>123</v>
      </c>
      <c r="H30">
        <v>1</v>
      </c>
      <c r="I30">
        <v>1</v>
      </c>
      <c r="J30">
        <v>1</v>
      </c>
    </row>
    <row r="31" spans="1:10" x14ac:dyDescent="0.35">
      <c r="A31" t="s">
        <v>124</v>
      </c>
      <c r="B31" s="1">
        <v>41102</v>
      </c>
      <c r="C31" t="s">
        <v>125</v>
      </c>
      <c r="D31">
        <v>4</v>
      </c>
      <c r="E31" t="s">
        <v>126</v>
      </c>
      <c r="F31" t="s">
        <v>13</v>
      </c>
      <c r="G31" t="s">
        <v>127</v>
      </c>
      <c r="H31">
        <v>0</v>
      </c>
      <c r="I31">
        <v>1</v>
      </c>
      <c r="J31">
        <v>0</v>
      </c>
    </row>
    <row r="32" spans="1:10" x14ac:dyDescent="0.35">
      <c r="A32" t="s">
        <v>128</v>
      </c>
      <c r="B32" s="1">
        <v>40672</v>
      </c>
      <c r="C32" t="s">
        <v>129</v>
      </c>
      <c r="D32">
        <v>5</v>
      </c>
      <c r="E32" s="2" t="s">
        <v>130</v>
      </c>
      <c r="F32" t="s">
        <v>13</v>
      </c>
      <c r="G32" t="s">
        <v>131</v>
      </c>
      <c r="H32">
        <v>0</v>
      </c>
      <c r="I32">
        <v>2</v>
      </c>
      <c r="J32">
        <v>0</v>
      </c>
    </row>
    <row r="33" spans="1:10" x14ac:dyDescent="0.35">
      <c r="A33" t="s">
        <v>132</v>
      </c>
      <c r="B33" s="1">
        <v>41033</v>
      </c>
      <c r="C33" t="s">
        <v>133</v>
      </c>
      <c r="D33">
        <v>1</v>
      </c>
      <c r="E33" t="s">
        <v>134</v>
      </c>
      <c r="F33" t="s">
        <v>13</v>
      </c>
      <c r="G33" t="s">
        <v>135</v>
      </c>
      <c r="H33">
        <v>0</v>
      </c>
      <c r="I33">
        <v>1</v>
      </c>
      <c r="J33">
        <v>0</v>
      </c>
    </row>
    <row r="34" spans="1:10" x14ac:dyDescent="0.35">
      <c r="A34" t="s">
        <v>136</v>
      </c>
      <c r="B34" s="1">
        <v>41161</v>
      </c>
      <c r="C34" t="e">
        <f>-v-shjbxoj7hpU62yn6vag</f>
        <v>#NAME?</v>
      </c>
      <c r="D34">
        <v>5</v>
      </c>
      <c r="E34" s="2" t="s">
        <v>137</v>
      </c>
      <c r="F34" t="s">
        <v>13</v>
      </c>
      <c r="G34" t="s">
        <v>138</v>
      </c>
      <c r="H34">
        <v>0</v>
      </c>
      <c r="I34">
        <v>0</v>
      </c>
      <c r="J34">
        <v>0</v>
      </c>
    </row>
    <row r="35" spans="1:10" x14ac:dyDescent="0.35">
      <c r="A35" t="s">
        <v>112</v>
      </c>
      <c r="B35" s="1">
        <v>40265</v>
      </c>
      <c r="C35" t="s">
        <v>139</v>
      </c>
      <c r="D35">
        <v>4</v>
      </c>
      <c r="E35" t="s">
        <v>140</v>
      </c>
      <c r="F35" t="s">
        <v>13</v>
      </c>
      <c r="G35" t="s">
        <v>141</v>
      </c>
      <c r="H35">
        <v>0</v>
      </c>
      <c r="I35">
        <v>0</v>
      </c>
      <c r="J35">
        <v>0</v>
      </c>
    </row>
    <row r="36" spans="1:10" x14ac:dyDescent="0.35">
      <c r="A36" t="s">
        <v>142</v>
      </c>
      <c r="B36" s="1">
        <v>40629</v>
      </c>
      <c r="C36" t="s">
        <v>143</v>
      </c>
      <c r="D36">
        <v>3</v>
      </c>
      <c r="E36" s="2" t="s">
        <v>144</v>
      </c>
      <c r="F36" t="s">
        <v>13</v>
      </c>
      <c r="G36" t="s">
        <v>145</v>
      </c>
      <c r="H36">
        <v>1</v>
      </c>
      <c r="I36">
        <v>3</v>
      </c>
      <c r="J36">
        <v>1</v>
      </c>
    </row>
    <row r="37" spans="1:10" x14ac:dyDescent="0.35">
      <c r="A37" t="s">
        <v>146</v>
      </c>
      <c r="B37" s="1">
        <v>40877</v>
      </c>
      <c r="C37" t="s">
        <v>147</v>
      </c>
      <c r="D37">
        <v>1</v>
      </c>
      <c r="E37" s="2" t="s">
        <v>148</v>
      </c>
      <c r="F37" t="s">
        <v>13</v>
      </c>
      <c r="G37" t="s">
        <v>149</v>
      </c>
      <c r="H37">
        <v>0</v>
      </c>
      <c r="I37">
        <v>4</v>
      </c>
      <c r="J37">
        <v>3</v>
      </c>
    </row>
    <row r="38" spans="1:10" x14ac:dyDescent="0.35">
      <c r="A38" t="s">
        <v>150</v>
      </c>
      <c r="B38" s="1">
        <v>39810</v>
      </c>
      <c r="C38" t="s">
        <v>151</v>
      </c>
      <c r="D38">
        <v>4</v>
      </c>
      <c r="E38" s="2" t="s">
        <v>152</v>
      </c>
      <c r="F38" t="s">
        <v>13</v>
      </c>
      <c r="G38" t="s">
        <v>153</v>
      </c>
      <c r="H38">
        <v>0</v>
      </c>
      <c r="I38">
        <v>1</v>
      </c>
      <c r="J38">
        <v>0</v>
      </c>
    </row>
    <row r="39" spans="1:10" x14ac:dyDescent="0.35">
      <c r="A39" t="s">
        <v>154</v>
      </c>
      <c r="B39" s="1">
        <v>41198</v>
      </c>
      <c r="C39" t="s">
        <v>155</v>
      </c>
      <c r="D39">
        <v>4</v>
      </c>
      <c r="E39" t="s">
        <v>156</v>
      </c>
      <c r="F39" t="s">
        <v>13</v>
      </c>
      <c r="G39" t="s">
        <v>157</v>
      </c>
      <c r="H39">
        <v>0</v>
      </c>
      <c r="I39">
        <v>0</v>
      </c>
      <c r="J39">
        <v>0</v>
      </c>
    </row>
    <row r="40" spans="1:10" x14ac:dyDescent="0.35">
      <c r="A40" t="e">
        <f>-kVXDEqGHOWKxQ3EhvFgVA</f>
        <v>#NAME?</v>
      </c>
      <c r="B40" s="1">
        <v>40545</v>
      </c>
      <c r="C40" t="s">
        <v>158</v>
      </c>
      <c r="D40">
        <v>4</v>
      </c>
      <c r="E40" t="s">
        <v>159</v>
      </c>
      <c r="F40" t="s">
        <v>13</v>
      </c>
      <c r="G40" t="s">
        <v>160</v>
      </c>
      <c r="H40">
        <v>0</v>
      </c>
      <c r="I40">
        <v>0</v>
      </c>
      <c r="J40">
        <v>0</v>
      </c>
    </row>
    <row r="41" spans="1:10" x14ac:dyDescent="0.35">
      <c r="A41" t="s">
        <v>161</v>
      </c>
      <c r="B41" s="1">
        <v>39638</v>
      </c>
      <c r="C41" t="s">
        <v>162</v>
      </c>
      <c r="D41">
        <v>4</v>
      </c>
      <c r="E41" s="2" t="s">
        <v>163</v>
      </c>
      <c r="F41" t="s">
        <v>13</v>
      </c>
      <c r="G41" t="s">
        <v>164</v>
      </c>
      <c r="H41">
        <v>1</v>
      </c>
      <c r="I41">
        <v>1</v>
      </c>
      <c r="J41">
        <v>0</v>
      </c>
    </row>
    <row r="42" spans="1:10" x14ac:dyDescent="0.35">
      <c r="A42" t="s">
        <v>165</v>
      </c>
      <c r="B42" s="1">
        <v>40856</v>
      </c>
      <c r="C42" t="s">
        <v>166</v>
      </c>
      <c r="D42">
        <v>4</v>
      </c>
      <c r="E42" s="2" t="s">
        <v>167</v>
      </c>
      <c r="F42" t="s">
        <v>13</v>
      </c>
      <c r="G42" t="s">
        <v>168</v>
      </c>
      <c r="H42">
        <v>0</v>
      </c>
      <c r="I42">
        <v>1</v>
      </c>
      <c r="J42">
        <v>0</v>
      </c>
    </row>
    <row r="43" spans="1:10" x14ac:dyDescent="0.35">
      <c r="A43" t="s">
        <v>169</v>
      </c>
      <c r="B43" s="1">
        <v>39885</v>
      </c>
      <c r="C43" t="s">
        <v>170</v>
      </c>
      <c r="D43">
        <v>4</v>
      </c>
      <c r="E43" t="s">
        <v>171</v>
      </c>
      <c r="F43" t="s">
        <v>13</v>
      </c>
      <c r="G43" t="s">
        <v>172</v>
      </c>
      <c r="H43">
        <v>2</v>
      </c>
      <c r="I43">
        <v>2</v>
      </c>
      <c r="J43">
        <v>1</v>
      </c>
    </row>
    <row r="44" spans="1:10" x14ac:dyDescent="0.35">
      <c r="A44" t="s">
        <v>173</v>
      </c>
      <c r="B44" s="1">
        <v>41090</v>
      </c>
      <c r="C44" t="s">
        <v>174</v>
      </c>
      <c r="D44">
        <v>4</v>
      </c>
      <c r="E44" t="s">
        <v>175</v>
      </c>
      <c r="F44" t="s">
        <v>13</v>
      </c>
      <c r="G44" t="s">
        <v>176</v>
      </c>
      <c r="H44">
        <v>0</v>
      </c>
      <c r="I44">
        <v>0</v>
      </c>
      <c r="J44">
        <v>0</v>
      </c>
    </row>
    <row r="45" spans="1:10" x14ac:dyDescent="0.35">
      <c r="A45" t="s">
        <v>177</v>
      </c>
      <c r="B45" s="1">
        <v>41011</v>
      </c>
      <c r="C45" t="s">
        <v>178</v>
      </c>
      <c r="D45">
        <v>4</v>
      </c>
      <c r="E45" t="s">
        <v>179</v>
      </c>
      <c r="F45" t="s">
        <v>13</v>
      </c>
      <c r="G45" t="s">
        <v>180</v>
      </c>
      <c r="H45">
        <v>0</v>
      </c>
      <c r="I45">
        <v>1</v>
      </c>
      <c r="J45">
        <v>0</v>
      </c>
    </row>
    <row r="46" spans="1:10" x14ac:dyDescent="0.35">
      <c r="A46" t="s">
        <v>181</v>
      </c>
      <c r="B46" s="1">
        <v>39977</v>
      </c>
      <c r="C46" t="s">
        <v>182</v>
      </c>
      <c r="D46">
        <v>4</v>
      </c>
      <c r="E46" s="2" t="s">
        <v>183</v>
      </c>
      <c r="F46" t="s">
        <v>13</v>
      </c>
      <c r="G46" t="s">
        <v>184</v>
      </c>
      <c r="H46">
        <v>1</v>
      </c>
      <c r="I46">
        <v>1</v>
      </c>
      <c r="J46">
        <v>1</v>
      </c>
    </row>
    <row r="47" spans="1:10" x14ac:dyDescent="0.35">
      <c r="A47" t="s">
        <v>185</v>
      </c>
      <c r="B47" s="1">
        <v>40898</v>
      </c>
      <c r="C47" t="s">
        <v>186</v>
      </c>
      <c r="D47">
        <v>3</v>
      </c>
      <c r="E47" t="s">
        <v>187</v>
      </c>
      <c r="F47" t="s">
        <v>13</v>
      </c>
      <c r="G47" t="s">
        <v>188</v>
      </c>
      <c r="H47">
        <v>0</v>
      </c>
      <c r="I47">
        <v>0</v>
      </c>
      <c r="J47">
        <v>0</v>
      </c>
    </row>
    <row r="48" spans="1:10" x14ac:dyDescent="0.35">
      <c r="A48" t="s">
        <v>189</v>
      </c>
      <c r="B48" s="1">
        <v>39907</v>
      </c>
      <c r="C48" t="s">
        <v>190</v>
      </c>
      <c r="D48">
        <v>5</v>
      </c>
      <c r="E48" t="s">
        <v>191</v>
      </c>
      <c r="F48" t="s">
        <v>13</v>
      </c>
      <c r="G48" t="s">
        <v>192</v>
      </c>
      <c r="H48">
        <v>2</v>
      </c>
      <c r="I48">
        <v>1</v>
      </c>
      <c r="J48">
        <v>1</v>
      </c>
    </row>
    <row r="49" spans="1:10" x14ac:dyDescent="0.35">
      <c r="A49" t="s">
        <v>193</v>
      </c>
      <c r="B49" s="1">
        <v>40446</v>
      </c>
      <c r="C49" t="s">
        <v>194</v>
      </c>
      <c r="D49">
        <v>3</v>
      </c>
      <c r="E49" t="s">
        <v>195</v>
      </c>
      <c r="F49" t="s">
        <v>13</v>
      </c>
      <c r="G49" t="s">
        <v>196</v>
      </c>
      <c r="H49">
        <v>0</v>
      </c>
      <c r="I49">
        <v>1</v>
      </c>
      <c r="J49">
        <v>1</v>
      </c>
    </row>
    <row r="50" spans="1:10" x14ac:dyDescent="0.35">
      <c r="A50" t="s">
        <v>197</v>
      </c>
      <c r="B50" s="1">
        <v>40911</v>
      </c>
      <c r="C50" t="s">
        <v>198</v>
      </c>
      <c r="D50">
        <v>4</v>
      </c>
      <c r="E50" t="s">
        <v>199</v>
      </c>
      <c r="F50" t="s">
        <v>13</v>
      </c>
      <c r="G50" t="s">
        <v>200</v>
      </c>
      <c r="H50">
        <v>0</v>
      </c>
      <c r="I50">
        <v>1</v>
      </c>
      <c r="J50">
        <v>0</v>
      </c>
    </row>
    <row r="51" spans="1:10" x14ac:dyDescent="0.35">
      <c r="A51" t="s">
        <v>201</v>
      </c>
      <c r="B51" s="1">
        <v>40819</v>
      </c>
      <c r="C51" t="s">
        <v>202</v>
      </c>
      <c r="D51">
        <v>4</v>
      </c>
      <c r="E51" s="2" t="s">
        <v>203</v>
      </c>
      <c r="F51" t="s">
        <v>13</v>
      </c>
      <c r="G51" t="s">
        <v>204</v>
      </c>
      <c r="H51">
        <v>1</v>
      </c>
      <c r="I51">
        <v>2</v>
      </c>
      <c r="J51">
        <v>1</v>
      </c>
    </row>
    <row r="52" spans="1:10" x14ac:dyDescent="0.35">
      <c r="A52" t="s">
        <v>205</v>
      </c>
      <c r="B52" s="1">
        <v>40394</v>
      </c>
      <c r="C52" t="s">
        <v>206</v>
      </c>
      <c r="D52">
        <v>4</v>
      </c>
      <c r="E52" s="2" t="s">
        <v>207</v>
      </c>
      <c r="F52" t="s">
        <v>13</v>
      </c>
      <c r="G52" t="s">
        <v>208</v>
      </c>
      <c r="H52">
        <v>1</v>
      </c>
      <c r="I52">
        <v>0</v>
      </c>
      <c r="J52">
        <v>1</v>
      </c>
    </row>
    <row r="53" spans="1:10" x14ac:dyDescent="0.35">
      <c r="A53" t="s">
        <v>34</v>
      </c>
      <c r="B53" s="1">
        <v>40210</v>
      </c>
      <c r="C53" t="s">
        <v>209</v>
      </c>
      <c r="D53">
        <v>5</v>
      </c>
      <c r="E53" s="2" t="s">
        <v>210</v>
      </c>
      <c r="F53" t="s">
        <v>13</v>
      </c>
      <c r="G53" t="s">
        <v>211</v>
      </c>
      <c r="H53">
        <v>3</v>
      </c>
      <c r="I53">
        <v>2</v>
      </c>
      <c r="J53">
        <v>1</v>
      </c>
    </row>
    <row r="54" spans="1:10" x14ac:dyDescent="0.35">
      <c r="A54" t="s">
        <v>212</v>
      </c>
      <c r="B54" s="1">
        <v>39384</v>
      </c>
      <c r="C54" t="s">
        <v>213</v>
      </c>
      <c r="D54">
        <v>4</v>
      </c>
      <c r="E54" s="2" t="s">
        <v>214</v>
      </c>
      <c r="F54" t="s">
        <v>13</v>
      </c>
      <c r="G54" t="s">
        <v>215</v>
      </c>
      <c r="H54">
        <v>1</v>
      </c>
      <c r="I54">
        <v>2</v>
      </c>
      <c r="J54">
        <v>0</v>
      </c>
    </row>
    <row r="55" spans="1:10" x14ac:dyDescent="0.35">
      <c r="A55" t="s">
        <v>216</v>
      </c>
      <c r="B55" s="1">
        <v>40890</v>
      </c>
      <c r="C55" t="s">
        <v>217</v>
      </c>
      <c r="D55">
        <v>4</v>
      </c>
      <c r="E55" s="2" t="s">
        <v>218</v>
      </c>
      <c r="F55" t="s">
        <v>13</v>
      </c>
      <c r="G55" t="s">
        <v>219</v>
      </c>
      <c r="H55">
        <v>0</v>
      </c>
      <c r="I55">
        <v>0</v>
      </c>
      <c r="J55">
        <v>0</v>
      </c>
    </row>
    <row r="56" spans="1:10" x14ac:dyDescent="0.35">
      <c r="A56" t="s">
        <v>220</v>
      </c>
      <c r="B56" s="1">
        <v>40031</v>
      </c>
      <c r="C56" t="s">
        <v>221</v>
      </c>
      <c r="D56">
        <v>5</v>
      </c>
      <c r="E56" s="2" t="s">
        <v>222</v>
      </c>
      <c r="F56" t="s">
        <v>13</v>
      </c>
      <c r="G56" t="s">
        <v>223</v>
      </c>
      <c r="H56">
        <v>2</v>
      </c>
      <c r="I56">
        <v>3</v>
      </c>
      <c r="J56">
        <v>3</v>
      </c>
    </row>
    <row r="57" spans="1:10" x14ac:dyDescent="0.35">
      <c r="A57" t="s">
        <v>224</v>
      </c>
      <c r="B57" s="1">
        <v>40922</v>
      </c>
      <c r="C57" t="s">
        <v>225</v>
      </c>
      <c r="D57">
        <v>4</v>
      </c>
      <c r="E57" s="2" t="s">
        <v>226</v>
      </c>
      <c r="F57" t="s">
        <v>13</v>
      </c>
      <c r="G57" t="s">
        <v>227</v>
      </c>
      <c r="H57">
        <v>0</v>
      </c>
      <c r="I57">
        <v>1</v>
      </c>
      <c r="J57">
        <v>0</v>
      </c>
    </row>
    <row r="58" spans="1:10" x14ac:dyDescent="0.35">
      <c r="A58" t="s">
        <v>228</v>
      </c>
      <c r="B58" s="1">
        <v>40058</v>
      </c>
      <c r="C58" t="s">
        <v>229</v>
      </c>
      <c r="D58">
        <v>2</v>
      </c>
      <c r="E58" s="2" t="s">
        <v>230</v>
      </c>
      <c r="F58" t="s">
        <v>13</v>
      </c>
      <c r="G58" t="s">
        <v>231</v>
      </c>
      <c r="H58">
        <v>1</v>
      </c>
      <c r="I58">
        <v>2</v>
      </c>
      <c r="J58">
        <v>2</v>
      </c>
    </row>
    <row r="59" spans="1:10" x14ac:dyDescent="0.35">
      <c r="A59" t="s">
        <v>232</v>
      </c>
      <c r="B59" s="1">
        <v>40213</v>
      </c>
      <c r="C59" t="s">
        <v>233</v>
      </c>
      <c r="D59">
        <v>4</v>
      </c>
      <c r="E59" s="2" t="s">
        <v>234</v>
      </c>
      <c r="F59" t="s">
        <v>13</v>
      </c>
      <c r="G59" t="s">
        <v>235</v>
      </c>
      <c r="H59">
        <v>0</v>
      </c>
      <c r="I59">
        <v>0</v>
      </c>
      <c r="J59">
        <v>0</v>
      </c>
    </row>
    <row r="60" spans="1:10" x14ac:dyDescent="0.35">
      <c r="A60" t="s">
        <v>236</v>
      </c>
      <c r="B60" s="1">
        <v>40292</v>
      </c>
      <c r="C60" t="s">
        <v>237</v>
      </c>
      <c r="D60">
        <v>4</v>
      </c>
      <c r="E60" t="s">
        <v>238</v>
      </c>
      <c r="F60" t="s">
        <v>13</v>
      </c>
      <c r="G60" t="s">
        <v>239</v>
      </c>
      <c r="H60">
        <v>0</v>
      </c>
      <c r="I60">
        <v>0</v>
      </c>
      <c r="J60">
        <v>0</v>
      </c>
    </row>
    <row r="61" spans="1:10" x14ac:dyDescent="0.35">
      <c r="A61" t="s">
        <v>240</v>
      </c>
      <c r="B61" s="1">
        <v>40449</v>
      </c>
      <c r="C61" t="s">
        <v>241</v>
      </c>
      <c r="D61">
        <v>5</v>
      </c>
      <c r="E61" s="2" t="s">
        <v>242</v>
      </c>
      <c r="F61" t="s">
        <v>13</v>
      </c>
      <c r="G61" t="s">
        <v>243</v>
      </c>
      <c r="H61">
        <v>0</v>
      </c>
      <c r="I61">
        <v>0</v>
      </c>
      <c r="J61">
        <v>0</v>
      </c>
    </row>
    <row r="62" spans="1:10" x14ac:dyDescent="0.35">
      <c r="A62" t="s">
        <v>244</v>
      </c>
      <c r="B62" s="1">
        <v>41068</v>
      </c>
      <c r="C62" t="s">
        <v>245</v>
      </c>
      <c r="D62">
        <v>4</v>
      </c>
      <c r="E62" s="2" t="s">
        <v>246</v>
      </c>
      <c r="F62" t="s">
        <v>13</v>
      </c>
      <c r="G62" t="s">
        <v>247</v>
      </c>
      <c r="H62">
        <v>0</v>
      </c>
      <c r="I62">
        <v>2</v>
      </c>
      <c r="J62">
        <v>0</v>
      </c>
    </row>
    <row r="63" spans="1:10" x14ac:dyDescent="0.35">
      <c r="A63" t="s">
        <v>248</v>
      </c>
      <c r="B63" s="1">
        <v>40869</v>
      </c>
      <c r="C63" t="s">
        <v>249</v>
      </c>
      <c r="D63">
        <v>1</v>
      </c>
      <c r="E63" s="2" t="s">
        <v>250</v>
      </c>
      <c r="F63" t="s">
        <v>13</v>
      </c>
      <c r="G63" t="s">
        <v>251</v>
      </c>
      <c r="H63">
        <v>0</v>
      </c>
      <c r="I63">
        <v>0</v>
      </c>
      <c r="J63">
        <v>0</v>
      </c>
    </row>
    <row r="64" spans="1:10" x14ac:dyDescent="0.35">
      <c r="A64" t="s">
        <v>252</v>
      </c>
      <c r="B64" s="1">
        <v>39475</v>
      </c>
      <c r="C64" t="s">
        <v>253</v>
      </c>
      <c r="D64">
        <v>3</v>
      </c>
      <c r="E64" s="2" t="s">
        <v>254</v>
      </c>
      <c r="F64" t="s">
        <v>13</v>
      </c>
      <c r="G64" t="s">
        <v>255</v>
      </c>
      <c r="H64">
        <v>0</v>
      </c>
      <c r="I64">
        <v>2</v>
      </c>
      <c r="J64">
        <v>1</v>
      </c>
    </row>
    <row r="65" spans="1:10" x14ac:dyDescent="0.35">
      <c r="A65" t="s">
        <v>256</v>
      </c>
      <c r="B65" s="1">
        <v>40214</v>
      </c>
      <c r="C65" t="s">
        <v>257</v>
      </c>
      <c r="D65">
        <v>4</v>
      </c>
      <c r="E65" t="s">
        <v>258</v>
      </c>
      <c r="F65" t="s">
        <v>13</v>
      </c>
      <c r="G65" t="s">
        <v>259</v>
      </c>
      <c r="H65">
        <v>2</v>
      </c>
      <c r="I65">
        <v>2</v>
      </c>
      <c r="J65">
        <v>1</v>
      </c>
    </row>
    <row r="66" spans="1:10" x14ac:dyDescent="0.35">
      <c r="A66" t="s">
        <v>260</v>
      </c>
      <c r="B66" s="1">
        <v>41048</v>
      </c>
      <c r="C66" t="s">
        <v>261</v>
      </c>
      <c r="D66">
        <v>1</v>
      </c>
      <c r="E66" t="s">
        <v>262</v>
      </c>
      <c r="F66" t="s">
        <v>13</v>
      </c>
      <c r="G66" t="s">
        <v>263</v>
      </c>
      <c r="H66">
        <v>0</v>
      </c>
      <c r="I66">
        <v>1</v>
      </c>
      <c r="J66">
        <v>2</v>
      </c>
    </row>
    <row r="67" spans="1:10" x14ac:dyDescent="0.35">
      <c r="A67" t="s">
        <v>264</v>
      </c>
      <c r="B67" s="1">
        <v>40667</v>
      </c>
      <c r="C67" t="s">
        <v>265</v>
      </c>
      <c r="D67">
        <v>1</v>
      </c>
      <c r="E67" s="2" t="s">
        <v>266</v>
      </c>
      <c r="F67" t="s">
        <v>13</v>
      </c>
      <c r="G67" t="s">
        <v>267</v>
      </c>
      <c r="H67">
        <v>0</v>
      </c>
      <c r="I67">
        <v>1</v>
      </c>
      <c r="J67">
        <v>0</v>
      </c>
    </row>
    <row r="68" spans="1:10" x14ac:dyDescent="0.35">
      <c r="A68" t="s">
        <v>268</v>
      </c>
      <c r="B68" s="1">
        <v>40907</v>
      </c>
      <c r="C68" t="s">
        <v>269</v>
      </c>
      <c r="D68">
        <v>5</v>
      </c>
      <c r="E68" t="s">
        <v>270</v>
      </c>
      <c r="F68" t="s">
        <v>13</v>
      </c>
      <c r="G68" t="s">
        <v>271</v>
      </c>
      <c r="H68">
        <v>0</v>
      </c>
      <c r="I68">
        <v>0</v>
      </c>
      <c r="J68">
        <v>0</v>
      </c>
    </row>
    <row r="69" spans="1:10" x14ac:dyDescent="0.35">
      <c r="A69" t="s">
        <v>142</v>
      </c>
      <c r="B69" s="1">
        <v>40661</v>
      </c>
      <c r="C69" t="s">
        <v>272</v>
      </c>
      <c r="D69">
        <v>5</v>
      </c>
      <c r="E69" t="s">
        <v>273</v>
      </c>
      <c r="F69" t="s">
        <v>13</v>
      </c>
      <c r="G69" t="e">
        <f>-yg_AMAU2HNh48zcuQ13mw</f>
        <v>#NAME?</v>
      </c>
      <c r="H69">
        <v>0</v>
      </c>
      <c r="I69">
        <v>1</v>
      </c>
      <c r="J69">
        <v>0</v>
      </c>
    </row>
    <row r="70" spans="1:10" x14ac:dyDescent="0.35">
      <c r="A70" t="s">
        <v>274</v>
      </c>
      <c r="B70" s="1">
        <v>40769</v>
      </c>
      <c r="C70" t="s">
        <v>275</v>
      </c>
      <c r="D70">
        <v>4</v>
      </c>
      <c r="E70" t="s">
        <v>276</v>
      </c>
      <c r="F70" t="s">
        <v>13</v>
      </c>
      <c r="G70" t="s">
        <v>277</v>
      </c>
      <c r="H70">
        <v>0</v>
      </c>
      <c r="I70">
        <v>0</v>
      </c>
      <c r="J70">
        <v>0</v>
      </c>
    </row>
    <row r="71" spans="1:10" x14ac:dyDescent="0.35">
      <c r="A71" t="s">
        <v>278</v>
      </c>
      <c r="B71" s="1">
        <v>40913</v>
      </c>
      <c r="C71" t="e">
        <f>-_hed9F2kUDdb4oa1CXKIA</f>
        <v>#NAME?</v>
      </c>
      <c r="D71">
        <v>5</v>
      </c>
      <c r="E71" t="s">
        <v>279</v>
      </c>
      <c r="F71" t="s">
        <v>13</v>
      </c>
      <c r="G71" t="s">
        <v>280</v>
      </c>
      <c r="H71">
        <v>0</v>
      </c>
      <c r="I71">
        <v>0</v>
      </c>
      <c r="J71">
        <v>0</v>
      </c>
    </row>
    <row r="72" spans="1:10" x14ac:dyDescent="0.35">
      <c r="A72" t="s">
        <v>281</v>
      </c>
      <c r="B72" s="1">
        <v>40320</v>
      </c>
      <c r="C72" t="s">
        <v>282</v>
      </c>
      <c r="D72">
        <v>4</v>
      </c>
      <c r="E72" t="s">
        <v>283</v>
      </c>
      <c r="F72" t="s">
        <v>13</v>
      </c>
      <c r="G72" t="s">
        <v>284</v>
      </c>
      <c r="H72">
        <v>2</v>
      </c>
      <c r="I72">
        <v>3</v>
      </c>
      <c r="J72">
        <v>0</v>
      </c>
    </row>
    <row r="73" spans="1:10" x14ac:dyDescent="0.35">
      <c r="A73" t="s">
        <v>285</v>
      </c>
      <c r="B73" s="1">
        <v>40656</v>
      </c>
      <c r="C73" t="s">
        <v>286</v>
      </c>
      <c r="D73">
        <v>1</v>
      </c>
      <c r="E73" s="2" t="s">
        <v>287</v>
      </c>
      <c r="F73" t="s">
        <v>13</v>
      </c>
      <c r="G73" t="s">
        <v>288</v>
      </c>
      <c r="H73">
        <v>0</v>
      </c>
      <c r="I73">
        <v>6</v>
      </c>
      <c r="J73">
        <v>1</v>
      </c>
    </row>
    <row r="74" spans="1:10" x14ac:dyDescent="0.35">
      <c r="A74" t="s">
        <v>289</v>
      </c>
      <c r="B74" s="1">
        <v>39563</v>
      </c>
      <c r="C74" t="s">
        <v>290</v>
      </c>
      <c r="D74">
        <v>4</v>
      </c>
      <c r="E74" s="2" t="s">
        <v>291</v>
      </c>
      <c r="F74" t="s">
        <v>13</v>
      </c>
      <c r="G74" t="s">
        <v>292</v>
      </c>
      <c r="H74">
        <v>0</v>
      </c>
      <c r="I74">
        <v>1</v>
      </c>
      <c r="J74">
        <v>0</v>
      </c>
    </row>
    <row r="75" spans="1:10" x14ac:dyDescent="0.35">
      <c r="A75" t="s">
        <v>293</v>
      </c>
      <c r="B75" s="1">
        <v>39622</v>
      </c>
      <c r="C75" t="s">
        <v>294</v>
      </c>
      <c r="D75">
        <v>4</v>
      </c>
      <c r="E75" s="2" t="s">
        <v>295</v>
      </c>
      <c r="F75" t="s">
        <v>13</v>
      </c>
      <c r="G75" t="s">
        <v>296</v>
      </c>
      <c r="H75">
        <v>0</v>
      </c>
      <c r="I75">
        <v>0</v>
      </c>
      <c r="J75">
        <v>0</v>
      </c>
    </row>
    <row r="76" spans="1:10" x14ac:dyDescent="0.35">
      <c r="A76" t="s">
        <v>297</v>
      </c>
      <c r="B76" s="1">
        <v>39612</v>
      </c>
      <c r="C76" t="s">
        <v>298</v>
      </c>
      <c r="D76">
        <v>5</v>
      </c>
      <c r="E76" s="2" t="s">
        <v>299</v>
      </c>
      <c r="F76" t="s">
        <v>13</v>
      </c>
      <c r="G76" t="s">
        <v>300</v>
      </c>
      <c r="H76">
        <v>3</v>
      </c>
      <c r="I76">
        <v>7</v>
      </c>
      <c r="J76">
        <v>1</v>
      </c>
    </row>
    <row r="77" spans="1:10" x14ac:dyDescent="0.35">
      <c r="A77" t="s">
        <v>301</v>
      </c>
      <c r="B77" s="1">
        <v>40442</v>
      </c>
      <c r="C77" t="s">
        <v>302</v>
      </c>
      <c r="D77">
        <v>4</v>
      </c>
      <c r="E77" s="2" t="s">
        <v>303</v>
      </c>
      <c r="F77" t="s">
        <v>13</v>
      </c>
      <c r="G77" t="s">
        <v>304</v>
      </c>
      <c r="H77">
        <v>0</v>
      </c>
      <c r="I77">
        <v>2</v>
      </c>
      <c r="J77">
        <v>0</v>
      </c>
    </row>
    <row r="78" spans="1:10" x14ac:dyDescent="0.35">
      <c r="A78" t="s">
        <v>305</v>
      </c>
      <c r="B78" s="1">
        <v>40718</v>
      </c>
      <c r="C78" t="s">
        <v>306</v>
      </c>
      <c r="D78">
        <v>4</v>
      </c>
      <c r="E78" t="s">
        <v>307</v>
      </c>
      <c r="F78" t="s">
        <v>13</v>
      </c>
      <c r="G78" t="s">
        <v>308</v>
      </c>
      <c r="H78">
        <v>1</v>
      </c>
      <c r="I78">
        <v>1</v>
      </c>
      <c r="J78">
        <v>1</v>
      </c>
    </row>
    <row r="79" spans="1:10" x14ac:dyDescent="0.35">
      <c r="A79" t="s">
        <v>309</v>
      </c>
      <c r="B79" s="1">
        <v>41172</v>
      </c>
      <c r="C79" t="s">
        <v>310</v>
      </c>
      <c r="D79">
        <v>4</v>
      </c>
      <c r="E79" s="2" t="s">
        <v>311</v>
      </c>
      <c r="F79" t="s">
        <v>13</v>
      </c>
      <c r="G79" t="s">
        <v>312</v>
      </c>
      <c r="H79">
        <v>0</v>
      </c>
      <c r="I79">
        <v>1</v>
      </c>
      <c r="J79">
        <v>0</v>
      </c>
    </row>
    <row r="80" spans="1:10" x14ac:dyDescent="0.35">
      <c r="A80" t="s">
        <v>313</v>
      </c>
      <c r="B80" s="1">
        <v>40773</v>
      </c>
      <c r="C80" t="s">
        <v>314</v>
      </c>
      <c r="D80">
        <v>5</v>
      </c>
      <c r="E80" t="s">
        <v>315</v>
      </c>
      <c r="F80" t="s">
        <v>13</v>
      </c>
      <c r="G80" t="s">
        <v>316</v>
      </c>
      <c r="H80">
        <v>1</v>
      </c>
      <c r="I80">
        <v>1</v>
      </c>
      <c r="J80">
        <v>0</v>
      </c>
    </row>
    <row r="81" spans="1:10" x14ac:dyDescent="0.35">
      <c r="A81" t="s">
        <v>317</v>
      </c>
      <c r="B81" s="1">
        <v>41169</v>
      </c>
      <c r="C81" t="s">
        <v>318</v>
      </c>
      <c r="D81">
        <v>1</v>
      </c>
      <c r="E81" t="s">
        <v>319</v>
      </c>
      <c r="F81" t="s">
        <v>13</v>
      </c>
      <c r="G81" t="s">
        <v>320</v>
      </c>
      <c r="H81">
        <v>0</v>
      </c>
      <c r="I81">
        <v>0</v>
      </c>
      <c r="J81">
        <v>0</v>
      </c>
    </row>
    <row r="82" spans="1:10" x14ac:dyDescent="0.35">
      <c r="A82" t="s">
        <v>321</v>
      </c>
      <c r="B82" s="1">
        <v>40630</v>
      </c>
      <c r="C82" t="s">
        <v>322</v>
      </c>
      <c r="D82">
        <v>4</v>
      </c>
      <c r="E82" s="2" t="s">
        <v>323</v>
      </c>
      <c r="F82" t="s">
        <v>13</v>
      </c>
      <c r="G82" t="s">
        <v>324</v>
      </c>
      <c r="H82">
        <v>0</v>
      </c>
      <c r="I82">
        <v>0</v>
      </c>
      <c r="J82">
        <v>0</v>
      </c>
    </row>
    <row r="83" spans="1:10" x14ac:dyDescent="0.35">
      <c r="A83" t="s">
        <v>325</v>
      </c>
      <c r="B83" s="1">
        <v>41089</v>
      </c>
      <c r="C83" t="s">
        <v>326</v>
      </c>
      <c r="D83">
        <v>4</v>
      </c>
      <c r="E83" t="s">
        <v>327</v>
      </c>
      <c r="F83" t="s">
        <v>13</v>
      </c>
      <c r="G83" t="s">
        <v>328</v>
      </c>
      <c r="H83">
        <v>0</v>
      </c>
      <c r="I83">
        <v>1</v>
      </c>
      <c r="J83">
        <v>0</v>
      </c>
    </row>
    <row r="84" spans="1:10" x14ac:dyDescent="0.35">
      <c r="A84" t="s">
        <v>329</v>
      </c>
      <c r="B84" s="1">
        <v>39980</v>
      </c>
      <c r="C84" t="s">
        <v>330</v>
      </c>
      <c r="D84">
        <v>5</v>
      </c>
      <c r="E84" s="2" t="s">
        <v>331</v>
      </c>
      <c r="F84" t="s">
        <v>13</v>
      </c>
      <c r="G84" t="s">
        <v>332</v>
      </c>
      <c r="H84">
        <v>11</v>
      </c>
      <c r="I84">
        <v>16</v>
      </c>
      <c r="J84">
        <v>8</v>
      </c>
    </row>
    <row r="85" spans="1:10" x14ac:dyDescent="0.35">
      <c r="A85" t="s">
        <v>333</v>
      </c>
      <c r="B85" s="1">
        <v>40482</v>
      </c>
      <c r="C85" t="s">
        <v>334</v>
      </c>
      <c r="D85">
        <v>4</v>
      </c>
      <c r="E85" t="s">
        <v>335</v>
      </c>
      <c r="F85" t="s">
        <v>13</v>
      </c>
      <c r="G85" t="s">
        <v>336</v>
      </c>
      <c r="H85">
        <v>0</v>
      </c>
      <c r="I85">
        <v>0</v>
      </c>
      <c r="J85">
        <v>0</v>
      </c>
    </row>
    <row r="86" spans="1:10" x14ac:dyDescent="0.35">
      <c r="A86" t="s">
        <v>337</v>
      </c>
      <c r="B86" s="1">
        <v>39890</v>
      </c>
      <c r="C86" t="s">
        <v>338</v>
      </c>
      <c r="D86">
        <v>1</v>
      </c>
      <c r="E86" s="2" t="s">
        <v>339</v>
      </c>
      <c r="F86" t="s">
        <v>13</v>
      </c>
      <c r="G86" t="s">
        <v>340</v>
      </c>
      <c r="H86">
        <v>1</v>
      </c>
      <c r="I86">
        <v>1</v>
      </c>
      <c r="J86">
        <v>3</v>
      </c>
    </row>
    <row r="87" spans="1:10" x14ac:dyDescent="0.35">
      <c r="A87" t="s">
        <v>341</v>
      </c>
      <c r="B87" s="1">
        <v>41273</v>
      </c>
      <c r="C87" t="s">
        <v>342</v>
      </c>
      <c r="D87">
        <v>4</v>
      </c>
      <c r="E87" t="s">
        <v>343</v>
      </c>
      <c r="F87" t="s">
        <v>13</v>
      </c>
      <c r="G87" t="s">
        <v>344</v>
      </c>
      <c r="H87">
        <v>0</v>
      </c>
      <c r="I87">
        <v>0</v>
      </c>
      <c r="J87">
        <v>0</v>
      </c>
    </row>
    <row r="88" spans="1:10" x14ac:dyDescent="0.35">
      <c r="A88" t="s">
        <v>345</v>
      </c>
      <c r="B88" s="1">
        <v>40655</v>
      </c>
      <c r="C88" t="s">
        <v>346</v>
      </c>
      <c r="D88">
        <v>5</v>
      </c>
      <c r="E88" s="2" t="s">
        <v>347</v>
      </c>
      <c r="F88" t="s">
        <v>13</v>
      </c>
      <c r="G88" t="s">
        <v>348</v>
      </c>
      <c r="H88">
        <v>2</v>
      </c>
      <c r="I88">
        <v>1</v>
      </c>
      <c r="J88">
        <v>0</v>
      </c>
    </row>
    <row r="89" spans="1:10" x14ac:dyDescent="0.35">
      <c r="A89" t="s">
        <v>349</v>
      </c>
      <c r="B89" s="1">
        <v>39844</v>
      </c>
      <c r="C89" t="s">
        <v>350</v>
      </c>
      <c r="D89">
        <v>4</v>
      </c>
      <c r="E89" s="2" t="s">
        <v>351</v>
      </c>
      <c r="F89" t="s">
        <v>13</v>
      </c>
      <c r="G89" t="s">
        <v>352</v>
      </c>
      <c r="H89">
        <v>0</v>
      </c>
      <c r="I89">
        <v>0</v>
      </c>
      <c r="J89">
        <v>0</v>
      </c>
    </row>
    <row r="90" spans="1:10" x14ac:dyDescent="0.35">
      <c r="A90" t="s">
        <v>353</v>
      </c>
      <c r="B90" s="1">
        <v>40316</v>
      </c>
      <c r="C90" t="s">
        <v>354</v>
      </c>
      <c r="D90">
        <v>5</v>
      </c>
      <c r="E90" t="s">
        <v>355</v>
      </c>
      <c r="F90" t="s">
        <v>13</v>
      </c>
      <c r="G90" t="s">
        <v>356</v>
      </c>
      <c r="H90">
        <v>0</v>
      </c>
      <c r="I90">
        <v>0</v>
      </c>
      <c r="J90">
        <v>0</v>
      </c>
    </row>
    <row r="91" spans="1:10" x14ac:dyDescent="0.35">
      <c r="A91" t="s">
        <v>357</v>
      </c>
      <c r="B91" s="1">
        <v>40617</v>
      </c>
      <c r="C91" t="s">
        <v>358</v>
      </c>
      <c r="D91">
        <v>1</v>
      </c>
      <c r="E91" s="2" t="s">
        <v>359</v>
      </c>
      <c r="F91" t="s">
        <v>13</v>
      </c>
      <c r="G91" t="s">
        <v>360</v>
      </c>
      <c r="H91">
        <v>0</v>
      </c>
      <c r="I91">
        <v>1</v>
      </c>
      <c r="J91">
        <v>0</v>
      </c>
    </row>
    <row r="92" spans="1:10" x14ac:dyDescent="0.35">
      <c r="A92" t="s">
        <v>38</v>
      </c>
      <c r="B92" s="1">
        <v>40365</v>
      </c>
      <c r="C92" t="s">
        <v>361</v>
      </c>
      <c r="D92">
        <v>1</v>
      </c>
      <c r="E92" s="2" t="s">
        <v>362</v>
      </c>
      <c r="F92" t="s">
        <v>13</v>
      </c>
      <c r="G92" t="s">
        <v>363</v>
      </c>
      <c r="H92">
        <v>7</v>
      </c>
      <c r="I92">
        <v>7</v>
      </c>
      <c r="J92">
        <v>9</v>
      </c>
    </row>
    <row r="93" spans="1:10" x14ac:dyDescent="0.35">
      <c r="A93" t="s">
        <v>364</v>
      </c>
      <c r="B93" s="1">
        <v>41272</v>
      </c>
      <c r="C93" t="s">
        <v>365</v>
      </c>
      <c r="D93">
        <v>5</v>
      </c>
      <c r="E93" s="2" t="s">
        <v>366</v>
      </c>
      <c r="F93" t="s">
        <v>13</v>
      </c>
      <c r="G93" t="s">
        <v>367</v>
      </c>
      <c r="H93">
        <v>0</v>
      </c>
      <c r="I93">
        <v>0</v>
      </c>
      <c r="J93">
        <v>0</v>
      </c>
    </row>
    <row r="94" spans="1:10" x14ac:dyDescent="0.35">
      <c r="A94" t="s">
        <v>368</v>
      </c>
      <c r="B94" s="1">
        <v>39834</v>
      </c>
      <c r="C94" t="s">
        <v>369</v>
      </c>
      <c r="D94">
        <v>4</v>
      </c>
      <c r="E94" t="s">
        <v>370</v>
      </c>
      <c r="F94" t="s">
        <v>13</v>
      </c>
      <c r="G94" t="s">
        <v>371</v>
      </c>
      <c r="H94">
        <v>2</v>
      </c>
      <c r="I94">
        <v>3</v>
      </c>
      <c r="J94">
        <v>1</v>
      </c>
    </row>
    <row r="95" spans="1:10" x14ac:dyDescent="0.35">
      <c r="A95" t="s">
        <v>372</v>
      </c>
      <c r="B95" s="1">
        <v>40201</v>
      </c>
      <c r="C95" t="s">
        <v>373</v>
      </c>
      <c r="D95">
        <v>4</v>
      </c>
      <c r="E95" s="2" t="s">
        <v>374</v>
      </c>
      <c r="F95" t="s">
        <v>13</v>
      </c>
      <c r="G95" t="s">
        <v>375</v>
      </c>
      <c r="H95">
        <v>3</v>
      </c>
      <c r="I95">
        <v>2</v>
      </c>
      <c r="J95">
        <v>2</v>
      </c>
    </row>
    <row r="96" spans="1:10" x14ac:dyDescent="0.35">
      <c r="A96" t="s">
        <v>376</v>
      </c>
      <c r="B96" s="1">
        <v>40648</v>
      </c>
      <c r="C96" t="s">
        <v>377</v>
      </c>
      <c r="D96">
        <v>4</v>
      </c>
      <c r="E96" s="2" t="s">
        <v>378</v>
      </c>
      <c r="F96" t="s">
        <v>13</v>
      </c>
      <c r="G96" t="s">
        <v>379</v>
      </c>
      <c r="H96">
        <v>1</v>
      </c>
      <c r="I96">
        <v>1</v>
      </c>
      <c r="J96">
        <v>0</v>
      </c>
    </row>
    <row r="97" spans="1:10" x14ac:dyDescent="0.35">
      <c r="A97" t="s">
        <v>380</v>
      </c>
      <c r="B97" s="1">
        <v>40709</v>
      </c>
      <c r="C97" t="s">
        <v>381</v>
      </c>
      <c r="D97">
        <v>5</v>
      </c>
      <c r="E97" t="s">
        <v>382</v>
      </c>
      <c r="F97" t="s">
        <v>13</v>
      </c>
      <c r="G97" t="s">
        <v>383</v>
      </c>
      <c r="H97">
        <v>0</v>
      </c>
      <c r="I97">
        <v>2</v>
      </c>
      <c r="J97">
        <v>0</v>
      </c>
    </row>
    <row r="98" spans="1:10" x14ac:dyDescent="0.35">
      <c r="A98" t="s">
        <v>384</v>
      </c>
      <c r="B98" s="1">
        <v>39881</v>
      </c>
      <c r="C98" t="s">
        <v>385</v>
      </c>
      <c r="D98">
        <v>4</v>
      </c>
      <c r="E98" t="s">
        <v>386</v>
      </c>
      <c r="F98" t="s">
        <v>13</v>
      </c>
      <c r="G98" t="s">
        <v>387</v>
      </c>
      <c r="H98">
        <v>1</v>
      </c>
      <c r="I98">
        <v>1</v>
      </c>
      <c r="J98">
        <v>0</v>
      </c>
    </row>
    <row r="99" spans="1:10" x14ac:dyDescent="0.35">
      <c r="A99" t="s">
        <v>388</v>
      </c>
      <c r="B99" s="1">
        <v>40645</v>
      </c>
      <c r="C99" t="s">
        <v>389</v>
      </c>
      <c r="D99">
        <v>4</v>
      </c>
      <c r="E99" t="s">
        <v>390</v>
      </c>
      <c r="F99" t="s">
        <v>13</v>
      </c>
      <c r="G99" t="s">
        <v>391</v>
      </c>
      <c r="H99">
        <v>0</v>
      </c>
      <c r="I99">
        <v>0</v>
      </c>
      <c r="J99">
        <v>0</v>
      </c>
    </row>
    <row r="100" spans="1:10" x14ac:dyDescent="0.35">
      <c r="A100" t="s">
        <v>392</v>
      </c>
      <c r="B100" s="1">
        <v>40622</v>
      </c>
      <c r="C100" t="s">
        <v>393</v>
      </c>
      <c r="D100">
        <v>5</v>
      </c>
      <c r="E100" s="2" t="s">
        <v>394</v>
      </c>
      <c r="F100" t="s">
        <v>13</v>
      </c>
      <c r="G100" t="s">
        <v>395</v>
      </c>
      <c r="H100">
        <v>0</v>
      </c>
      <c r="I100">
        <v>2</v>
      </c>
      <c r="J100">
        <v>0</v>
      </c>
    </row>
    <row r="101" spans="1:10" x14ac:dyDescent="0.35">
      <c r="A101" t="s">
        <v>396</v>
      </c>
      <c r="B101" s="1">
        <v>40608</v>
      </c>
      <c r="C101" t="s">
        <v>397</v>
      </c>
      <c r="D101">
        <v>5</v>
      </c>
      <c r="E101" t="s">
        <v>398</v>
      </c>
      <c r="F101" t="s">
        <v>13</v>
      </c>
      <c r="G101" t="s">
        <v>399</v>
      </c>
      <c r="H101">
        <v>0</v>
      </c>
      <c r="I101">
        <v>0</v>
      </c>
      <c r="J101">
        <v>0</v>
      </c>
    </row>
    <row r="102" spans="1:10" x14ac:dyDescent="0.35">
      <c r="A102" t="s">
        <v>400</v>
      </c>
      <c r="B102" s="1">
        <v>40226</v>
      </c>
      <c r="C102" t="s">
        <v>401</v>
      </c>
      <c r="D102">
        <v>4</v>
      </c>
      <c r="E102" s="2" t="s">
        <v>402</v>
      </c>
      <c r="F102" t="s">
        <v>13</v>
      </c>
      <c r="G102" t="s">
        <v>403</v>
      </c>
      <c r="H102">
        <v>0</v>
      </c>
      <c r="I102">
        <v>1</v>
      </c>
      <c r="J102">
        <v>0</v>
      </c>
    </row>
    <row r="103" spans="1:10" x14ac:dyDescent="0.35">
      <c r="A103" t="s">
        <v>404</v>
      </c>
      <c r="B103" s="1">
        <v>40616</v>
      </c>
      <c r="C103" t="s">
        <v>405</v>
      </c>
      <c r="D103">
        <v>5</v>
      </c>
      <c r="E103" t="s">
        <v>406</v>
      </c>
      <c r="F103" t="s">
        <v>13</v>
      </c>
      <c r="G103" t="s">
        <v>407</v>
      </c>
      <c r="H103">
        <v>0</v>
      </c>
      <c r="I103">
        <v>1</v>
      </c>
      <c r="J103">
        <v>0</v>
      </c>
    </row>
    <row r="104" spans="1:10" x14ac:dyDescent="0.35">
      <c r="A104" t="s">
        <v>408</v>
      </c>
      <c r="B104" s="1">
        <v>40344</v>
      </c>
      <c r="C104" t="s">
        <v>409</v>
      </c>
      <c r="D104">
        <v>5</v>
      </c>
      <c r="E104" t="s">
        <v>410</v>
      </c>
      <c r="F104" t="s">
        <v>13</v>
      </c>
      <c r="G104" t="s">
        <v>411</v>
      </c>
      <c r="H104">
        <v>0</v>
      </c>
      <c r="I104">
        <v>0</v>
      </c>
      <c r="J104">
        <v>0</v>
      </c>
    </row>
    <row r="105" spans="1:10" x14ac:dyDescent="0.35">
      <c r="A105" t="s">
        <v>337</v>
      </c>
      <c r="B105" s="1">
        <v>40593</v>
      </c>
      <c r="C105" t="s">
        <v>412</v>
      </c>
      <c r="D105">
        <v>4</v>
      </c>
      <c r="E105" s="2" t="s">
        <v>413</v>
      </c>
      <c r="F105" t="s">
        <v>13</v>
      </c>
      <c r="G105" t="s">
        <v>308</v>
      </c>
      <c r="H105">
        <v>0</v>
      </c>
      <c r="I105">
        <v>0</v>
      </c>
      <c r="J105">
        <v>0</v>
      </c>
    </row>
    <row r="106" spans="1:10" x14ac:dyDescent="0.35">
      <c r="A106" t="s">
        <v>414</v>
      </c>
      <c r="B106" s="1">
        <v>40700</v>
      </c>
      <c r="C106" t="s">
        <v>415</v>
      </c>
      <c r="D106">
        <v>3</v>
      </c>
      <c r="E106" t="s">
        <v>416</v>
      </c>
      <c r="F106" t="s">
        <v>13</v>
      </c>
      <c r="G106" t="s">
        <v>348</v>
      </c>
      <c r="H106">
        <v>1</v>
      </c>
      <c r="I106">
        <v>0</v>
      </c>
      <c r="J106">
        <v>0</v>
      </c>
    </row>
    <row r="107" spans="1:10" x14ac:dyDescent="0.35">
      <c r="A107" t="s">
        <v>417</v>
      </c>
      <c r="B107" s="1">
        <v>41077</v>
      </c>
      <c r="C107" t="s">
        <v>418</v>
      </c>
      <c r="D107">
        <v>1</v>
      </c>
      <c r="E107" t="s">
        <v>419</v>
      </c>
      <c r="F107" t="s">
        <v>13</v>
      </c>
      <c r="G107" t="s">
        <v>420</v>
      </c>
      <c r="H107">
        <v>0</v>
      </c>
      <c r="I107">
        <v>2</v>
      </c>
      <c r="J107">
        <v>1</v>
      </c>
    </row>
    <row r="108" spans="1:10" x14ac:dyDescent="0.35">
      <c r="A108" t="s">
        <v>376</v>
      </c>
      <c r="B108" s="1">
        <v>40714</v>
      </c>
      <c r="C108" t="s">
        <v>421</v>
      </c>
      <c r="D108">
        <v>5</v>
      </c>
      <c r="E108" s="2" t="s">
        <v>422</v>
      </c>
      <c r="F108" t="s">
        <v>13</v>
      </c>
      <c r="G108" t="s">
        <v>423</v>
      </c>
      <c r="H108">
        <v>0</v>
      </c>
      <c r="I108">
        <v>1</v>
      </c>
      <c r="J108">
        <v>0</v>
      </c>
    </row>
    <row r="109" spans="1:10" x14ac:dyDescent="0.35">
      <c r="A109" t="s">
        <v>154</v>
      </c>
      <c r="B109" s="1">
        <v>40618</v>
      </c>
      <c r="C109" t="s">
        <v>424</v>
      </c>
      <c r="D109">
        <v>3</v>
      </c>
      <c r="E109" s="2" t="s">
        <v>425</v>
      </c>
      <c r="F109" t="s">
        <v>13</v>
      </c>
      <c r="G109" t="s">
        <v>426</v>
      </c>
      <c r="H109">
        <v>0</v>
      </c>
      <c r="I109">
        <v>0</v>
      </c>
      <c r="J109">
        <v>0</v>
      </c>
    </row>
    <row r="110" spans="1:10" x14ac:dyDescent="0.35">
      <c r="A110" t="s">
        <v>128</v>
      </c>
      <c r="B110" s="1">
        <v>41259</v>
      </c>
      <c r="C110" t="s">
        <v>427</v>
      </c>
      <c r="D110">
        <v>5</v>
      </c>
      <c r="E110" s="2" t="s">
        <v>428</v>
      </c>
      <c r="F110" t="s">
        <v>13</v>
      </c>
      <c r="G110" t="s">
        <v>429</v>
      </c>
      <c r="H110">
        <v>0</v>
      </c>
      <c r="I110">
        <v>0</v>
      </c>
      <c r="J110">
        <v>0</v>
      </c>
    </row>
    <row r="111" spans="1:10" x14ac:dyDescent="0.35">
      <c r="A111" t="s">
        <v>430</v>
      </c>
      <c r="B111" s="1">
        <v>40381</v>
      </c>
      <c r="C111" t="s">
        <v>431</v>
      </c>
      <c r="D111">
        <v>4</v>
      </c>
      <c r="E111" s="2" t="s">
        <v>432</v>
      </c>
      <c r="F111" t="s">
        <v>13</v>
      </c>
      <c r="G111" t="s">
        <v>433</v>
      </c>
      <c r="H111">
        <v>1</v>
      </c>
      <c r="I111">
        <v>1</v>
      </c>
      <c r="J111">
        <v>0</v>
      </c>
    </row>
    <row r="112" spans="1:10" x14ac:dyDescent="0.35">
      <c r="A112" t="s">
        <v>434</v>
      </c>
      <c r="B112" s="1">
        <v>40971</v>
      </c>
      <c r="C112" t="s">
        <v>435</v>
      </c>
      <c r="D112">
        <v>2</v>
      </c>
      <c r="E112" t="s">
        <v>436</v>
      </c>
      <c r="F112" t="s">
        <v>13</v>
      </c>
      <c r="G112" t="s">
        <v>437</v>
      </c>
      <c r="H112">
        <v>0</v>
      </c>
      <c r="I112">
        <v>2</v>
      </c>
      <c r="J112">
        <v>2</v>
      </c>
    </row>
    <row r="113" spans="1:10" x14ac:dyDescent="0.35">
      <c r="A113" t="s">
        <v>438</v>
      </c>
      <c r="B113" s="1">
        <v>39619</v>
      </c>
      <c r="C113" t="s">
        <v>439</v>
      </c>
      <c r="D113">
        <v>5</v>
      </c>
      <c r="E113" s="2" t="s">
        <v>440</v>
      </c>
      <c r="F113" t="s">
        <v>13</v>
      </c>
      <c r="G113" t="s">
        <v>208</v>
      </c>
      <c r="H113">
        <v>0</v>
      </c>
      <c r="I113">
        <v>2</v>
      </c>
      <c r="J113">
        <v>0</v>
      </c>
    </row>
    <row r="114" spans="1:10" x14ac:dyDescent="0.35">
      <c r="A114" t="s">
        <v>441</v>
      </c>
      <c r="B114" s="1">
        <v>40123</v>
      </c>
      <c r="C114" t="s">
        <v>442</v>
      </c>
      <c r="D114">
        <v>5</v>
      </c>
      <c r="E114" s="2" t="s">
        <v>443</v>
      </c>
      <c r="F114" t="s">
        <v>13</v>
      </c>
      <c r="G114" t="s">
        <v>444</v>
      </c>
      <c r="H114">
        <v>6</v>
      </c>
      <c r="I114">
        <v>6</v>
      </c>
      <c r="J114">
        <v>6</v>
      </c>
    </row>
    <row r="115" spans="1:10" x14ac:dyDescent="0.35">
      <c r="A115" t="s">
        <v>445</v>
      </c>
      <c r="B115" s="1">
        <v>39863</v>
      </c>
      <c r="C115" t="s">
        <v>446</v>
      </c>
      <c r="D115">
        <v>1</v>
      </c>
      <c r="E115" s="2" t="s">
        <v>447</v>
      </c>
      <c r="F115" t="s">
        <v>13</v>
      </c>
      <c r="G115" t="s">
        <v>448</v>
      </c>
      <c r="H115">
        <v>0</v>
      </c>
      <c r="I115">
        <v>1</v>
      </c>
      <c r="J115">
        <v>0</v>
      </c>
    </row>
    <row r="116" spans="1:10" x14ac:dyDescent="0.35">
      <c r="A116" t="s">
        <v>449</v>
      </c>
      <c r="B116" s="1">
        <v>40748</v>
      </c>
      <c r="C116" t="s">
        <v>450</v>
      </c>
      <c r="D116">
        <v>3</v>
      </c>
      <c r="E116" t="s">
        <v>451</v>
      </c>
      <c r="F116" t="s">
        <v>13</v>
      </c>
      <c r="G116" t="s">
        <v>452</v>
      </c>
      <c r="H116">
        <v>0</v>
      </c>
      <c r="I116">
        <v>0</v>
      </c>
      <c r="J116">
        <v>0</v>
      </c>
    </row>
    <row r="117" spans="1:10" x14ac:dyDescent="0.35">
      <c r="A117" t="s">
        <v>453</v>
      </c>
      <c r="B117" s="1">
        <v>40414</v>
      </c>
      <c r="C117" t="s">
        <v>454</v>
      </c>
      <c r="D117">
        <v>4</v>
      </c>
      <c r="E117" s="2" t="s">
        <v>455</v>
      </c>
      <c r="F117" t="s">
        <v>13</v>
      </c>
      <c r="G117" t="s">
        <v>456</v>
      </c>
      <c r="H117">
        <v>0</v>
      </c>
      <c r="I117">
        <v>0</v>
      </c>
      <c r="J117">
        <v>0</v>
      </c>
    </row>
    <row r="118" spans="1:10" x14ac:dyDescent="0.35">
      <c r="A118" t="s">
        <v>457</v>
      </c>
      <c r="B118" s="1">
        <v>40982</v>
      </c>
      <c r="C118" t="s">
        <v>458</v>
      </c>
      <c r="D118">
        <v>3</v>
      </c>
      <c r="E118" t="s">
        <v>459</v>
      </c>
      <c r="F118" t="s">
        <v>13</v>
      </c>
      <c r="G118" t="s">
        <v>460</v>
      </c>
      <c r="H118">
        <v>0</v>
      </c>
      <c r="I118">
        <v>0</v>
      </c>
      <c r="J118">
        <v>0</v>
      </c>
    </row>
    <row r="119" spans="1:10" x14ac:dyDescent="0.35">
      <c r="A119" t="s">
        <v>461</v>
      </c>
      <c r="B119" s="1">
        <v>40638</v>
      </c>
      <c r="C119" t="s">
        <v>462</v>
      </c>
      <c r="D119">
        <v>3</v>
      </c>
      <c r="E119" t="s">
        <v>463</v>
      </c>
      <c r="F119" t="s">
        <v>13</v>
      </c>
      <c r="G119" t="s">
        <v>464</v>
      </c>
      <c r="H119">
        <v>0</v>
      </c>
      <c r="I119">
        <v>0</v>
      </c>
      <c r="J119">
        <v>0</v>
      </c>
    </row>
    <row r="120" spans="1:10" x14ac:dyDescent="0.35">
      <c r="A120" t="s">
        <v>465</v>
      </c>
      <c r="B120" s="1">
        <v>40606</v>
      </c>
      <c r="C120" t="s">
        <v>466</v>
      </c>
      <c r="D120">
        <v>4</v>
      </c>
      <c r="E120" t="s">
        <v>467</v>
      </c>
      <c r="F120" t="s">
        <v>13</v>
      </c>
      <c r="G120" t="s">
        <v>468</v>
      </c>
      <c r="H120">
        <v>0</v>
      </c>
      <c r="I120">
        <v>0</v>
      </c>
      <c r="J120">
        <v>0</v>
      </c>
    </row>
    <row r="121" spans="1:10" x14ac:dyDescent="0.35">
      <c r="A121" t="s">
        <v>469</v>
      </c>
      <c r="B121" s="1">
        <v>39505</v>
      </c>
      <c r="C121" t="s">
        <v>470</v>
      </c>
      <c r="D121">
        <v>1</v>
      </c>
      <c r="E121" t="s">
        <v>471</v>
      </c>
      <c r="F121" t="s">
        <v>13</v>
      </c>
      <c r="G121" t="s">
        <v>472</v>
      </c>
      <c r="H121">
        <v>0</v>
      </c>
      <c r="I121">
        <v>0</v>
      </c>
      <c r="J121">
        <v>0</v>
      </c>
    </row>
    <row r="122" spans="1:10" x14ac:dyDescent="0.35">
      <c r="A122" t="s">
        <v>473</v>
      </c>
      <c r="B122" s="1">
        <v>40380</v>
      </c>
      <c r="C122" t="s">
        <v>474</v>
      </c>
      <c r="D122">
        <v>4</v>
      </c>
      <c r="E122" t="s">
        <v>475</v>
      </c>
      <c r="F122" t="s">
        <v>13</v>
      </c>
      <c r="G122" t="s">
        <v>476</v>
      </c>
      <c r="H122">
        <v>0</v>
      </c>
      <c r="I122">
        <v>1</v>
      </c>
      <c r="J122">
        <v>0</v>
      </c>
    </row>
    <row r="123" spans="1:10" x14ac:dyDescent="0.35">
      <c r="A123" t="s">
        <v>477</v>
      </c>
      <c r="B123" s="1">
        <v>40955</v>
      </c>
      <c r="C123" t="s">
        <v>478</v>
      </c>
      <c r="D123">
        <v>5</v>
      </c>
      <c r="E123" t="s">
        <v>479</v>
      </c>
      <c r="F123" t="s">
        <v>13</v>
      </c>
      <c r="G123" t="s">
        <v>480</v>
      </c>
      <c r="H123">
        <v>1</v>
      </c>
      <c r="I123">
        <v>0</v>
      </c>
      <c r="J123">
        <v>0</v>
      </c>
    </row>
    <row r="124" spans="1:10" x14ac:dyDescent="0.35">
      <c r="A124" t="s">
        <v>481</v>
      </c>
      <c r="B124" s="1">
        <v>41068</v>
      </c>
      <c r="C124" t="s">
        <v>482</v>
      </c>
      <c r="D124">
        <v>5</v>
      </c>
      <c r="E124" s="2" t="s">
        <v>483</v>
      </c>
      <c r="F124" t="s">
        <v>13</v>
      </c>
      <c r="G124" t="s">
        <v>484</v>
      </c>
      <c r="H124">
        <v>0</v>
      </c>
      <c r="I124">
        <v>0</v>
      </c>
      <c r="J124">
        <v>0</v>
      </c>
    </row>
    <row r="125" spans="1:10" x14ac:dyDescent="0.35">
      <c r="A125" t="s">
        <v>485</v>
      </c>
      <c r="B125" s="1">
        <v>40405</v>
      </c>
      <c r="C125" t="s">
        <v>486</v>
      </c>
      <c r="D125">
        <v>4</v>
      </c>
      <c r="E125" s="2" t="s">
        <v>487</v>
      </c>
      <c r="F125" t="s">
        <v>13</v>
      </c>
      <c r="G125" t="s">
        <v>488</v>
      </c>
      <c r="H125">
        <v>0</v>
      </c>
      <c r="I125">
        <v>1</v>
      </c>
      <c r="J125">
        <v>0</v>
      </c>
    </row>
    <row r="126" spans="1:10" x14ac:dyDescent="0.35">
      <c r="A126" t="s">
        <v>489</v>
      </c>
      <c r="B126" s="1">
        <v>40998</v>
      </c>
      <c r="C126" t="s">
        <v>490</v>
      </c>
      <c r="D126">
        <v>5</v>
      </c>
      <c r="E126" t="s">
        <v>491</v>
      </c>
      <c r="F126" t="s">
        <v>13</v>
      </c>
      <c r="G126" t="s">
        <v>492</v>
      </c>
      <c r="H126">
        <v>1</v>
      </c>
      <c r="I126">
        <v>0</v>
      </c>
      <c r="J126">
        <v>0</v>
      </c>
    </row>
    <row r="127" spans="1:10" x14ac:dyDescent="0.35">
      <c r="A127" t="s">
        <v>493</v>
      </c>
      <c r="B127" s="1">
        <v>40372</v>
      </c>
      <c r="C127" t="s">
        <v>494</v>
      </c>
      <c r="D127">
        <v>5</v>
      </c>
      <c r="E127" s="2" t="s">
        <v>495</v>
      </c>
      <c r="F127" t="s">
        <v>13</v>
      </c>
      <c r="G127" t="s">
        <v>92</v>
      </c>
      <c r="H127">
        <v>8</v>
      </c>
      <c r="I127">
        <v>9</v>
      </c>
      <c r="J127">
        <v>6</v>
      </c>
    </row>
    <row r="128" spans="1:10" x14ac:dyDescent="0.35">
      <c r="A128" t="s">
        <v>496</v>
      </c>
      <c r="B128" s="1">
        <v>39316</v>
      </c>
      <c r="C128" t="s">
        <v>497</v>
      </c>
      <c r="D128">
        <v>1</v>
      </c>
      <c r="E128" s="2" t="s">
        <v>498</v>
      </c>
      <c r="F128" t="s">
        <v>13</v>
      </c>
      <c r="G128" t="s">
        <v>499</v>
      </c>
      <c r="H128">
        <v>0</v>
      </c>
      <c r="I128">
        <v>1</v>
      </c>
      <c r="J128">
        <v>0</v>
      </c>
    </row>
    <row r="129" spans="1:10" x14ac:dyDescent="0.35">
      <c r="A129" t="s">
        <v>500</v>
      </c>
      <c r="B129" s="1">
        <v>40519</v>
      </c>
      <c r="C129" t="s">
        <v>501</v>
      </c>
      <c r="D129">
        <v>5</v>
      </c>
      <c r="E129" t="s">
        <v>502</v>
      </c>
      <c r="F129" t="s">
        <v>13</v>
      </c>
      <c r="G129" t="s">
        <v>259</v>
      </c>
      <c r="H129">
        <v>0</v>
      </c>
      <c r="I129">
        <v>0</v>
      </c>
      <c r="J129">
        <v>0</v>
      </c>
    </row>
    <row r="130" spans="1:10" x14ac:dyDescent="0.35">
      <c r="A130" t="s">
        <v>503</v>
      </c>
      <c r="B130" s="1">
        <v>40887</v>
      </c>
      <c r="C130" t="s">
        <v>504</v>
      </c>
      <c r="D130">
        <v>3</v>
      </c>
      <c r="E130" s="2" t="s">
        <v>505</v>
      </c>
      <c r="F130" t="s">
        <v>13</v>
      </c>
      <c r="G130" t="e">
        <f>-Wa5j14Rhps3DC2SMaaatQ</f>
        <v>#NAME?</v>
      </c>
      <c r="H130">
        <v>0</v>
      </c>
      <c r="I130">
        <v>0</v>
      </c>
      <c r="J130">
        <v>0</v>
      </c>
    </row>
    <row r="131" spans="1:10" x14ac:dyDescent="0.35">
      <c r="A131" t="s">
        <v>506</v>
      </c>
      <c r="B131" s="1">
        <v>39561</v>
      </c>
      <c r="C131" t="s">
        <v>507</v>
      </c>
      <c r="D131">
        <v>2</v>
      </c>
      <c r="E131" s="2" t="s">
        <v>508</v>
      </c>
      <c r="F131" t="s">
        <v>13</v>
      </c>
      <c r="G131" t="s">
        <v>509</v>
      </c>
      <c r="H131">
        <v>1</v>
      </c>
      <c r="I131">
        <v>3</v>
      </c>
      <c r="J131">
        <v>1</v>
      </c>
    </row>
    <row r="132" spans="1:10" x14ac:dyDescent="0.35">
      <c r="A132" t="s">
        <v>510</v>
      </c>
      <c r="B132" s="1">
        <v>40436</v>
      </c>
      <c r="C132" t="s">
        <v>511</v>
      </c>
      <c r="D132">
        <v>3</v>
      </c>
      <c r="E132" t="s">
        <v>512</v>
      </c>
      <c r="F132" t="s">
        <v>13</v>
      </c>
      <c r="G132" t="s">
        <v>513</v>
      </c>
      <c r="H132">
        <v>0</v>
      </c>
      <c r="I132">
        <v>0</v>
      </c>
      <c r="J132">
        <v>0</v>
      </c>
    </row>
    <row r="133" spans="1:10" x14ac:dyDescent="0.35">
      <c r="A133" t="s">
        <v>514</v>
      </c>
      <c r="B133" s="1">
        <v>41134</v>
      </c>
      <c r="C133" t="s">
        <v>515</v>
      </c>
      <c r="D133">
        <v>3</v>
      </c>
      <c r="E133" s="2" t="s">
        <v>516</v>
      </c>
      <c r="F133" t="s">
        <v>13</v>
      </c>
      <c r="G133" t="s">
        <v>517</v>
      </c>
      <c r="H133">
        <v>1</v>
      </c>
      <c r="I133">
        <v>1</v>
      </c>
      <c r="J133">
        <v>0</v>
      </c>
    </row>
    <row r="134" spans="1:10" x14ac:dyDescent="0.35">
      <c r="A134" t="s">
        <v>518</v>
      </c>
      <c r="B134" s="1">
        <v>40975</v>
      </c>
      <c r="C134" t="s">
        <v>519</v>
      </c>
      <c r="D134">
        <v>4</v>
      </c>
      <c r="E134" s="2" t="s">
        <v>520</v>
      </c>
      <c r="F134" t="s">
        <v>13</v>
      </c>
      <c r="G134" t="s">
        <v>521</v>
      </c>
      <c r="H134">
        <v>0</v>
      </c>
      <c r="I134">
        <v>0</v>
      </c>
      <c r="J134">
        <v>0</v>
      </c>
    </row>
    <row r="135" spans="1:10" x14ac:dyDescent="0.35">
      <c r="A135" t="s">
        <v>522</v>
      </c>
      <c r="B135" s="1">
        <v>40440</v>
      </c>
      <c r="C135" t="s">
        <v>523</v>
      </c>
      <c r="D135">
        <v>4</v>
      </c>
      <c r="E135" s="2" t="s">
        <v>524</v>
      </c>
      <c r="F135" t="s">
        <v>13</v>
      </c>
      <c r="G135" t="s">
        <v>525</v>
      </c>
      <c r="H135">
        <v>0</v>
      </c>
      <c r="I135">
        <v>0</v>
      </c>
      <c r="J135">
        <v>0</v>
      </c>
    </row>
    <row r="136" spans="1:10" x14ac:dyDescent="0.35">
      <c r="A136" t="s">
        <v>526</v>
      </c>
      <c r="B136" s="1">
        <v>40978</v>
      </c>
      <c r="C136" t="s">
        <v>527</v>
      </c>
      <c r="D136">
        <v>5</v>
      </c>
      <c r="E136" t="s">
        <v>528</v>
      </c>
      <c r="F136" t="s">
        <v>13</v>
      </c>
      <c r="G136" t="s">
        <v>529</v>
      </c>
      <c r="H136">
        <v>1</v>
      </c>
      <c r="I136">
        <v>2</v>
      </c>
      <c r="J136">
        <v>1</v>
      </c>
    </row>
    <row r="137" spans="1:10" x14ac:dyDescent="0.35">
      <c r="A137" t="s">
        <v>530</v>
      </c>
      <c r="B137" s="1">
        <v>41171</v>
      </c>
      <c r="C137" t="s">
        <v>531</v>
      </c>
      <c r="D137">
        <v>3</v>
      </c>
      <c r="E137" t="s">
        <v>532</v>
      </c>
      <c r="F137" t="s">
        <v>13</v>
      </c>
      <c r="G137" t="s">
        <v>533</v>
      </c>
      <c r="H137">
        <v>0</v>
      </c>
      <c r="I137">
        <v>0</v>
      </c>
      <c r="J137">
        <v>0</v>
      </c>
    </row>
    <row r="138" spans="1:10" x14ac:dyDescent="0.35">
      <c r="A138" t="s">
        <v>534</v>
      </c>
      <c r="B138" s="1">
        <v>39802</v>
      </c>
      <c r="C138" t="s">
        <v>535</v>
      </c>
      <c r="D138">
        <v>1</v>
      </c>
      <c r="E138" t="s">
        <v>536</v>
      </c>
      <c r="F138" t="s">
        <v>13</v>
      </c>
      <c r="G138" t="s">
        <v>537</v>
      </c>
      <c r="H138">
        <v>0</v>
      </c>
      <c r="I138">
        <v>3</v>
      </c>
      <c r="J138">
        <v>1</v>
      </c>
    </row>
    <row r="139" spans="1:10" x14ac:dyDescent="0.35">
      <c r="A139" t="s">
        <v>538</v>
      </c>
      <c r="B139" s="1">
        <v>40713</v>
      </c>
      <c r="C139" t="s">
        <v>539</v>
      </c>
      <c r="D139">
        <v>2</v>
      </c>
      <c r="E139" s="2" t="s">
        <v>540</v>
      </c>
      <c r="F139" t="s">
        <v>13</v>
      </c>
      <c r="G139" t="s">
        <v>541</v>
      </c>
      <c r="H139">
        <v>0</v>
      </c>
      <c r="I139">
        <v>1</v>
      </c>
      <c r="J139">
        <v>0</v>
      </c>
    </row>
    <row r="140" spans="1:10" x14ac:dyDescent="0.35">
      <c r="A140" t="s">
        <v>542</v>
      </c>
      <c r="B140" s="1">
        <v>41205</v>
      </c>
      <c r="C140" t="s">
        <v>543</v>
      </c>
      <c r="D140">
        <v>5</v>
      </c>
      <c r="E140" t="s">
        <v>544</v>
      </c>
      <c r="F140" t="s">
        <v>13</v>
      </c>
      <c r="G140" t="s">
        <v>545</v>
      </c>
      <c r="H140">
        <v>0</v>
      </c>
      <c r="I140">
        <v>0</v>
      </c>
      <c r="J140">
        <v>0</v>
      </c>
    </row>
    <row r="141" spans="1:10" x14ac:dyDescent="0.35">
      <c r="A141" t="s">
        <v>546</v>
      </c>
      <c r="B141" s="1">
        <v>41253</v>
      </c>
      <c r="C141" t="s">
        <v>547</v>
      </c>
      <c r="D141">
        <v>4</v>
      </c>
      <c r="E141" t="s">
        <v>548</v>
      </c>
      <c r="F141" t="s">
        <v>13</v>
      </c>
      <c r="G141" t="s">
        <v>549</v>
      </c>
      <c r="H141">
        <v>0</v>
      </c>
      <c r="I141">
        <v>0</v>
      </c>
      <c r="J141">
        <v>0</v>
      </c>
    </row>
    <row r="142" spans="1:10" x14ac:dyDescent="0.35">
      <c r="A142" t="s">
        <v>550</v>
      </c>
      <c r="B142" s="1">
        <v>40481</v>
      </c>
      <c r="C142" t="s">
        <v>551</v>
      </c>
      <c r="D142">
        <v>1</v>
      </c>
      <c r="E142" s="2" t="s">
        <v>552</v>
      </c>
      <c r="F142" t="s">
        <v>13</v>
      </c>
      <c r="G142" t="s">
        <v>553</v>
      </c>
      <c r="H142">
        <v>0</v>
      </c>
      <c r="I142">
        <v>0</v>
      </c>
      <c r="J142">
        <v>0</v>
      </c>
    </row>
    <row r="143" spans="1:10" x14ac:dyDescent="0.35">
      <c r="A143" t="s">
        <v>554</v>
      </c>
      <c r="B143" s="1">
        <v>40803</v>
      </c>
      <c r="C143" t="s">
        <v>555</v>
      </c>
      <c r="D143">
        <v>4</v>
      </c>
      <c r="E143" s="2" t="s">
        <v>556</v>
      </c>
      <c r="F143" t="s">
        <v>13</v>
      </c>
      <c r="G143" t="s">
        <v>557</v>
      </c>
      <c r="H143">
        <v>0</v>
      </c>
      <c r="I143">
        <v>0</v>
      </c>
      <c r="J143">
        <v>0</v>
      </c>
    </row>
    <row r="144" spans="1:10" x14ac:dyDescent="0.35">
      <c r="A144" t="s">
        <v>558</v>
      </c>
      <c r="B144" s="1">
        <v>39369</v>
      </c>
      <c r="C144" t="s">
        <v>559</v>
      </c>
      <c r="D144">
        <v>4</v>
      </c>
      <c r="E144" s="2" t="s">
        <v>560</v>
      </c>
      <c r="F144" t="s">
        <v>13</v>
      </c>
      <c r="G144" t="s">
        <v>561</v>
      </c>
      <c r="H144">
        <v>1</v>
      </c>
      <c r="I144">
        <v>0</v>
      </c>
      <c r="J144">
        <v>1</v>
      </c>
    </row>
    <row r="145" spans="1:10" x14ac:dyDescent="0.35">
      <c r="A145" t="s">
        <v>562</v>
      </c>
      <c r="B145" s="1">
        <v>40324</v>
      </c>
      <c r="C145" t="s">
        <v>563</v>
      </c>
      <c r="D145">
        <v>3</v>
      </c>
      <c r="E145" t="s">
        <v>564</v>
      </c>
      <c r="F145" t="s">
        <v>13</v>
      </c>
      <c r="G145" t="s">
        <v>565</v>
      </c>
      <c r="H145">
        <v>0</v>
      </c>
      <c r="I145">
        <v>0</v>
      </c>
      <c r="J145">
        <v>0</v>
      </c>
    </row>
    <row r="146" spans="1:10" x14ac:dyDescent="0.35">
      <c r="A146" t="s">
        <v>34</v>
      </c>
      <c r="B146" s="1">
        <v>40211</v>
      </c>
      <c r="C146" t="s">
        <v>566</v>
      </c>
      <c r="D146">
        <v>5</v>
      </c>
      <c r="E146" s="2" t="s">
        <v>567</v>
      </c>
      <c r="F146" t="s">
        <v>13</v>
      </c>
      <c r="G146" t="s">
        <v>568</v>
      </c>
      <c r="H146">
        <v>16</v>
      </c>
      <c r="I146">
        <v>17</v>
      </c>
      <c r="J146">
        <v>9</v>
      </c>
    </row>
    <row r="147" spans="1:10" x14ac:dyDescent="0.35">
      <c r="A147" t="s">
        <v>569</v>
      </c>
      <c r="B147" s="1">
        <v>40540</v>
      </c>
      <c r="C147" t="s">
        <v>570</v>
      </c>
      <c r="D147">
        <v>5</v>
      </c>
      <c r="E147" t="s">
        <v>571</v>
      </c>
      <c r="F147" t="s">
        <v>13</v>
      </c>
      <c r="G147" t="s">
        <v>572</v>
      </c>
      <c r="H147">
        <v>0</v>
      </c>
      <c r="I147">
        <v>1</v>
      </c>
      <c r="J147">
        <v>0</v>
      </c>
    </row>
    <row r="148" spans="1:10" x14ac:dyDescent="0.35">
      <c r="A148" t="s">
        <v>38</v>
      </c>
      <c r="B148" s="1">
        <v>40430</v>
      </c>
      <c r="C148" t="s">
        <v>573</v>
      </c>
      <c r="D148">
        <v>3</v>
      </c>
      <c r="E148" s="2" t="s">
        <v>574</v>
      </c>
      <c r="F148" t="s">
        <v>13</v>
      </c>
      <c r="G148" t="s">
        <v>575</v>
      </c>
      <c r="H148">
        <v>2</v>
      </c>
      <c r="I148">
        <v>2</v>
      </c>
      <c r="J148">
        <v>3</v>
      </c>
    </row>
    <row r="149" spans="1:10" x14ac:dyDescent="0.35">
      <c r="A149" t="s">
        <v>576</v>
      </c>
      <c r="B149" s="1">
        <v>40626</v>
      </c>
      <c r="C149" t="s">
        <v>577</v>
      </c>
      <c r="D149">
        <v>2</v>
      </c>
      <c r="E149" t="s">
        <v>578</v>
      </c>
      <c r="F149" t="s">
        <v>13</v>
      </c>
      <c r="G149" t="s">
        <v>579</v>
      </c>
      <c r="H149">
        <v>1</v>
      </c>
      <c r="I149">
        <v>2</v>
      </c>
      <c r="J149">
        <v>1</v>
      </c>
    </row>
    <row r="150" spans="1:10" x14ac:dyDescent="0.35">
      <c r="A150" t="s">
        <v>580</v>
      </c>
      <c r="B150" s="1">
        <v>41166</v>
      </c>
      <c r="C150" t="s">
        <v>581</v>
      </c>
      <c r="D150">
        <v>1</v>
      </c>
      <c r="E150" t="s">
        <v>582</v>
      </c>
      <c r="F150" t="s">
        <v>13</v>
      </c>
      <c r="G150" t="s">
        <v>583</v>
      </c>
      <c r="H150">
        <v>0</v>
      </c>
      <c r="I150">
        <v>0</v>
      </c>
      <c r="J150">
        <v>0</v>
      </c>
    </row>
    <row r="151" spans="1:10" x14ac:dyDescent="0.35">
      <c r="A151" t="s">
        <v>584</v>
      </c>
      <c r="B151" s="1">
        <v>41074</v>
      </c>
      <c r="C151" t="s">
        <v>585</v>
      </c>
      <c r="D151">
        <v>5</v>
      </c>
      <c r="E151" t="s">
        <v>586</v>
      </c>
      <c r="F151" t="s">
        <v>13</v>
      </c>
      <c r="G151" t="s">
        <v>312</v>
      </c>
      <c r="H151">
        <v>0</v>
      </c>
      <c r="I151">
        <v>1</v>
      </c>
      <c r="J151">
        <v>0</v>
      </c>
    </row>
    <row r="152" spans="1:10" x14ac:dyDescent="0.35">
      <c r="A152" t="s">
        <v>587</v>
      </c>
      <c r="B152" s="1">
        <v>40721</v>
      </c>
      <c r="C152" t="s">
        <v>588</v>
      </c>
      <c r="D152">
        <v>3</v>
      </c>
      <c r="E152" t="s">
        <v>589</v>
      </c>
      <c r="F152" t="s">
        <v>13</v>
      </c>
      <c r="G152" t="s">
        <v>590</v>
      </c>
      <c r="H152">
        <v>0</v>
      </c>
      <c r="I152">
        <v>1</v>
      </c>
      <c r="J152">
        <v>0</v>
      </c>
    </row>
    <row r="153" spans="1:10" x14ac:dyDescent="0.35">
      <c r="A153" t="s">
        <v>591</v>
      </c>
      <c r="B153" s="1">
        <v>40630</v>
      </c>
      <c r="C153" t="e">
        <f>-qSWOLcNWhl0aLy-nadlKg</f>
        <v>#NAME?</v>
      </c>
      <c r="D153">
        <v>4</v>
      </c>
      <c r="E153" t="s">
        <v>592</v>
      </c>
      <c r="F153" t="s">
        <v>13</v>
      </c>
      <c r="G153" t="s">
        <v>590</v>
      </c>
      <c r="H153">
        <v>0</v>
      </c>
      <c r="I153">
        <v>0</v>
      </c>
      <c r="J153">
        <v>0</v>
      </c>
    </row>
    <row r="154" spans="1:10" x14ac:dyDescent="0.35">
      <c r="A154" t="s">
        <v>593</v>
      </c>
      <c r="B154" s="1">
        <v>41120</v>
      </c>
      <c r="C154" t="s">
        <v>594</v>
      </c>
      <c r="D154">
        <v>5</v>
      </c>
      <c r="E154" s="2" t="s">
        <v>595</v>
      </c>
      <c r="F154" t="s">
        <v>13</v>
      </c>
      <c r="G154" t="s">
        <v>596</v>
      </c>
      <c r="H154">
        <v>1</v>
      </c>
      <c r="I154">
        <v>1</v>
      </c>
      <c r="J154">
        <v>0</v>
      </c>
    </row>
    <row r="155" spans="1:10" x14ac:dyDescent="0.35">
      <c r="A155" t="s">
        <v>597</v>
      </c>
      <c r="B155" s="1">
        <v>40558</v>
      </c>
      <c r="C155" t="s">
        <v>598</v>
      </c>
      <c r="D155">
        <v>3</v>
      </c>
      <c r="E155" s="2" t="s">
        <v>599</v>
      </c>
      <c r="F155" t="s">
        <v>13</v>
      </c>
      <c r="G155" t="s">
        <v>600</v>
      </c>
      <c r="H155">
        <v>0</v>
      </c>
      <c r="I155">
        <v>0</v>
      </c>
      <c r="J155">
        <v>0</v>
      </c>
    </row>
    <row r="156" spans="1:10" x14ac:dyDescent="0.35">
      <c r="A156" t="s">
        <v>601</v>
      </c>
      <c r="B156" s="1">
        <v>40362</v>
      </c>
      <c r="C156" t="s">
        <v>602</v>
      </c>
      <c r="D156">
        <v>5</v>
      </c>
      <c r="E156" t="s">
        <v>603</v>
      </c>
      <c r="F156" t="s">
        <v>13</v>
      </c>
      <c r="G156" t="s">
        <v>604</v>
      </c>
      <c r="H156">
        <v>0</v>
      </c>
      <c r="I156">
        <v>0</v>
      </c>
      <c r="J156">
        <v>0</v>
      </c>
    </row>
    <row r="157" spans="1:10" x14ac:dyDescent="0.35">
      <c r="A157" t="s">
        <v>605</v>
      </c>
      <c r="B157" s="1">
        <v>39908</v>
      </c>
      <c r="C157" t="s">
        <v>606</v>
      </c>
      <c r="D157">
        <v>5</v>
      </c>
      <c r="E157" s="2" t="s">
        <v>607</v>
      </c>
      <c r="F157" t="s">
        <v>13</v>
      </c>
      <c r="G157" t="s">
        <v>608</v>
      </c>
      <c r="H157">
        <v>1</v>
      </c>
      <c r="I157">
        <v>1</v>
      </c>
      <c r="J157">
        <v>0</v>
      </c>
    </row>
    <row r="158" spans="1:10" x14ac:dyDescent="0.35">
      <c r="A158" t="s">
        <v>609</v>
      </c>
      <c r="B158" s="1">
        <v>41272</v>
      </c>
      <c r="C158" t="s">
        <v>610</v>
      </c>
      <c r="D158">
        <v>3</v>
      </c>
      <c r="E158" t="s">
        <v>611</v>
      </c>
      <c r="F158" t="s">
        <v>13</v>
      </c>
      <c r="G158" t="s">
        <v>612</v>
      </c>
      <c r="H158">
        <v>0</v>
      </c>
      <c r="I158">
        <v>0</v>
      </c>
      <c r="J158">
        <v>0</v>
      </c>
    </row>
    <row r="159" spans="1:10" x14ac:dyDescent="0.35">
      <c r="A159" t="s">
        <v>613</v>
      </c>
      <c r="B159" s="1">
        <v>40674</v>
      </c>
      <c r="C159" t="s">
        <v>614</v>
      </c>
      <c r="D159">
        <v>5</v>
      </c>
      <c r="E159" t="s">
        <v>615</v>
      </c>
      <c r="F159" t="s">
        <v>13</v>
      </c>
      <c r="G159" t="s">
        <v>616</v>
      </c>
      <c r="H159">
        <v>0</v>
      </c>
      <c r="I159">
        <v>0</v>
      </c>
      <c r="J159">
        <v>0</v>
      </c>
    </row>
    <row r="160" spans="1:10" x14ac:dyDescent="0.35">
      <c r="A160" t="s">
        <v>617</v>
      </c>
      <c r="B160" s="1">
        <v>40080</v>
      </c>
      <c r="C160" t="s">
        <v>618</v>
      </c>
      <c r="D160">
        <v>5</v>
      </c>
      <c r="E160" t="s">
        <v>619</v>
      </c>
      <c r="F160" t="s">
        <v>13</v>
      </c>
      <c r="G160" t="s">
        <v>620</v>
      </c>
      <c r="H160">
        <v>0</v>
      </c>
      <c r="I160">
        <v>2</v>
      </c>
      <c r="J160">
        <v>0</v>
      </c>
    </row>
    <row r="161" spans="1:10" x14ac:dyDescent="0.35">
      <c r="A161" t="s">
        <v>621</v>
      </c>
      <c r="B161" s="1">
        <v>39974</v>
      </c>
      <c r="C161" t="s">
        <v>622</v>
      </c>
      <c r="D161">
        <v>2</v>
      </c>
      <c r="E161" s="2" t="s">
        <v>623</v>
      </c>
      <c r="F161" t="s">
        <v>13</v>
      </c>
      <c r="G161" t="s">
        <v>624</v>
      </c>
      <c r="H161">
        <v>1</v>
      </c>
      <c r="I161">
        <v>1</v>
      </c>
      <c r="J161">
        <v>1</v>
      </c>
    </row>
    <row r="162" spans="1:10" x14ac:dyDescent="0.35">
      <c r="A162" t="s">
        <v>625</v>
      </c>
      <c r="B162" s="1">
        <v>41102</v>
      </c>
      <c r="C162" t="s">
        <v>626</v>
      </c>
      <c r="D162">
        <v>5</v>
      </c>
      <c r="E162" s="2" t="s">
        <v>627</v>
      </c>
      <c r="F162" t="s">
        <v>13</v>
      </c>
      <c r="G162" t="s">
        <v>628</v>
      </c>
      <c r="H162">
        <v>2</v>
      </c>
      <c r="I162">
        <v>3</v>
      </c>
      <c r="J162">
        <v>2</v>
      </c>
    </row>
    <row r="163" spans="1:10" x14ac:dyDescent="0.35">
      <c r="A163" t="s">
        <v>629</v>
      </c>
      <c r="B163" s="1">
        <v>39153</v>
      </c>
      <c r="C163" t="s">
        <v>630</v>
      </c>
      <c r="D163">
        <v>5</v>
      </c>
      <c r="E163" s="2" t="s">
        <v>631</v>
      </c>
      <c r="F163" t="s">
        <v>13</v>
      </c>
      <c r="G163" t="s">
        <v>632</v>
      </c>
      <c r="H163">
        <v>1</v>
      </c>
      <c r="I163">
        <v>1</v>
      </c>
      <c r="J163">
        <v>0</v>
      </c>
    </row>
    <row r="164" spans="1:10" x14ac:dyDescent="0.35">
      <c r="A164" t="s">
        <v>633</v>
      </c>
      <c r="B164" s="1">
        <v>40504</v>
      </c>
      <c r="C164" t="s">
        <v>634</v>
      </c>
      <c r="D164">
        <v>2</v>
      </c>
      <c r="E164" s="2" t="s">
        <v>635</v>
      </c>
      <c r="F164" t="s">
        <v>13</v>
      </c>
      <c r="G164" t="s">
        <v>636</v>
      </c>
      <c r="H164">
        <v>0</v>
      </c>
      <c r="I164">
        <v>0</v>
      </c>
      <c r="J164">
        <v>0</v>
      </c>
    </row>
    <row r="165" spans="1:10" x14ac:dyDescent="0.35">
      <c r="A165" t="s">
        <v>637</v>
      </c>
      <c r="B165" s="1">
        <v>39978</v>
      </c>
      <c r="C165" t="s">
        <v>638</v>
      </c>
      <c r="D165">
        <v>2</v>
      </c>
      <c r="E165" s="2" t="s">
        <v>639</v>
      </c>
      <c r="F165" t="s">
        <v>13</v>
      </c>
      <c r="G165" t="s">
        <v>640</v>
      </c>
      <c r="H165">
        <v>4</v>
      </c>
      <c r="I165">
        <v>5</v>
      </c>
      <c r="J165">
        <v>8</v>
      </c>
    </row>
    <row r="166" spans="1:10" x14ac:dyDescent="0.35">
      <c r="A166" t="s">
        <v>641</v>
      </c>
      <c r="B166" s="1">
        <v>39661</v>
      </c>
      <c r="C166" t="s">
        <v>642</v>
      </c>
      <c r="D166">
        <v>5</v>
      </c>
      <c r="E166" s="2" t="s">
        <v>643</v>
      </c>
      <c r="F166" t="s">
        <v>13</v>
      </c>
      <c r="G166" t="s">
        <v>644</v>
      </c>
      <c r="H166">
        <v>4</v>
      </c>
      <c r="I166">
        <v>5</v>
      </c>
      <c r="J166">
        <v>5</v>
      </c>
    </row>
    <row r="167" spans="1:10" x14ac:dyDescent="0.35">
      <c r="A167" t="s">
        <v>645</v>
      </c>
      <c r="B167" s="1">
        <v>39291</v>
      </c>
      <c r="C167" t="s">
        <v>646</v>
      </c>
      <c r="D167">
        <v>1</v>
      </c>
      <c r="E167" t="s">
        <v>647</v>
      </c>
      <c r="F167" t="s">
        <v>13</v>
      </c>
      <c r="G167" t="s">
        <v>648</v>
      </c>
      <c r="H167">
        <v>0</v>
      </c>
      <c r="I167">
        <v>3</v>
      </c>
      <c r="J167">
        <v>1</v>
      </c>
    </row>
    <row r="168" spans="1:10" x14ac:dyDescent="0.35">
      <c r="A168" t="s">
        <v>649</v>
      </c>
      <c r="B168" s="1">
        <v>40984</v>
      </c>
      <c r="C168" t="s">
        <v>650</v>
      </c>
      <c r="D168">
        <v>5</v>
      </c>
      <c r="E168" t="s">
        <v>651</v>
      </c>
      <c r="F168" t="s">
        <v>13</v>
      </c>
      <c r="G168" t="s">
        <v>652</v>
      </c>
      <c r="H168">
        <v>1</v>
      </c>
      <c r="I168">
        <v>0</v>
      </c>
      <c r="J168">
        <v>0</v>
      </c>
    </row>
    <row r="169" spans="1:10" x14ac:dyDescent="0.35">
      <c r="A169" t="s">
        <v>653</v>
      </c>
      <c r="B169" s="1">
        <v>39178</v>
      </c>
      <c r="C169" t="s">
        <v>654</v>
      </c>
      <c r="D169">
        <v>3</v>
      </c>
      <c r="E169" t="s">
        <v>655</v>
      </c>
      <c r="F169" t="s">
        <v>13</v>
      </c>
      <c r="G169" t="s">
        <v>656</v>
      </c>
      <c r="H169">
        <v>0</v>
      </c>
      <c r="I169">
        <v>1</v>
      </c>
      <c r="J169">
        <v>0</v>
      </c>
    </row>
    <row r="170" spans="1:10" x14ac:dyDescent="0.35">
      <c r="A170" t="s">
        <v>657</v>
      </c>
      <c r="B170" s="1">
        <v>40348</v>
      </c>
      <c r="C170" t="s">
        <v>658</v>
      </c>
      <c r="D170">
        <v>4</v>
      </c>
      <c r="E170" t="s">
        <v>659</v>
      </c>
      <c r="F170" t="s">
        <v>13</v>
      </c>
      <c r="G170" t="s">
        <v>660</v>
      </c>
      <c r="H170">
        <v>0</v>
      </c>
      <c r="I170">
        <v>0</v>
      </c>
      <c r="J170">
        <v>0</v>
      </c>
    </row>
    <row r="171" spans="1:10" x14ac:dyDescent="0.35">
      <c r="A171" t="s">
        <v>661</v>
      </c>
      <c r="B171" s="1">
        <v>40764</v>
      </c>
      <c r="C171" t="s">
        <v>662</v>
      </c>
      <c r="D171">
        <v>4</v>
      </c>
      <c r="E171" s="2" t="s">
        <v>663</v>
      </c>
      <c r="F171" t="s">
        <v>13</v>
      </c>
      <c r="G171" t="s">
        <v>664</v>
      </c>
      <c r="H171">
        <v>2</v>
      </c>
      <c r="I171">
        <v>1</v>
      </c>
      <c r="J171">
        <v>0</v>
      </c>
    </row>
    <row r="172" spans="1:10" x14ac:dyDescent="0.35">
      <c r="A172" t="s">
        <v>665</v>
      </c>
      <c r="B172" s="1">
        <v>40256</v>
      </c>
      <c r="C172" t="s">
        <v>666</v>
      </c>
      <c r="D172">
        <v>1</v>
      </c>
      <c r="E172" t="s">
        <v>667</v>
      </c>
      <c r="F172" t="s">
        <v>13</v>
      </c>
      <c r="G172" t="s">
        <v>668</v>
      </c>
      <c r="H172">
        <v>0</v>
      </c>
      <c r="I172">
        <v>0</v>
      </c>
      <c r="J172">
        <v>0</v>
      </c>
    </row>
    <row r="173" spans="1:10" x14ac:dyDescent="0.35">
      <c r="A173" t="s">
        <v>669</v>
      </c>
      <c r="B173" s="1">
        <v>40561</v>
      </c>
      <c r="C173" t="s">
        <v>670</v>
      </c>
      <c r="D173">
        <v>3</v>
      </c>
      <c r="E173" t="s">
        <v>671</v>
      </c>
      <c r="F173" t="s">
        <v>13</v>
      </c>
      <c r="G173" t="s">
        <v>672</v>
      </c>
      <c r="H173">
        <v>0</v>
      </c>
      <c r="I173">
        <v>0</v>
      </c>
      <c r="J173">
        <v>0</v>
      </c>
    </row>
    <row r="174" spans="1:10" x14ac:dyDescent="0.35">
      <c r="A174" t="s">
        <v>673</v>
      </c>
      <c r="B174" s="1">
        <v>40380</v>
      </c>
      <c r="C174" t="s">
        <v>674</v>
      </c>
      <c r="D174">
        <v>2</v>
      </c>
      <c r="E174" t="s">
        <v>675</v>
      </c>
      <c r="F174" t="s">
        <v>13</v>
      </c>
      <c r="G174" t="s">
        <v>676</v>
      </c>
      <c r="H174">
        <v>0</v>
      </c>
      <c r="I174">
        <v>1</v>
      </c>
      <c r="J174">
        <v>0</v>
      </c>
    </row>
    <row r="175" spans="1:10" x14ac:dyDescent="0.35">
      <c r="A175" t="s">
        <v>677</v>
      </c>
      <c r="B175" s="1">
        <v>40899</v>
      </c>
      <c r="C175" t="s">
        <v>678</v>
      </c>
      <c r="D175">
        <v>3</v>
      </c>
      <c r="E175" t="s">
        <v>679</v>
      </c>
      <c r="F175" t="s">
        <v>13</v>
      </c>
      <c r="G175" t="s">
        <v>204</v>
      </c>
      <c r="H175">
        <v>0</v>
      </c>
      <c r="I175">
        <v>0</v>
      </c>
      <c r="J175">
        <v>0</v>
      </c>
    </row>
    <row r="176" spans="1:10" x14ac:dyDescent="0.35">
      <c r="A176" t="s">
        <v>680</v>
      </c>
      <c r="B176" s="1">
        <v>40043</v>
      </c>
      <c r="C176" t="s">
        <v>681</v>
      </c>
      <c r="D176">
        <v>4</v>
      </c>
      <c r="E176" s="2" t="s">
        <v>682</v>
      </c>
      <c r="F176" t="s">
        <v>13</v>
      </c>
      <c r="G176" t="s">
        <v>92</v>
      </c>
      <c r="H176">
        <v>16</v>
      </c>
      <c r="I176">
        <v>19</v>
      </c>
      <c r="J176">
        <v>5</v>
      </c>
    </row>
    <row r="177" spans="1:10" x14ac:dyDescent="0.35">
      <c r="A177" t="s">
        <v>683</v>
      </c>
      <c r="B177" s="1">
        <v>41258</v>
      </c>
      <c r="C177" t="s">
        <v>684</v>
      </c>
      <c r="D177">
        <v>4</v>
      </c>
      <c r="E177" t="s">
        <v>685</v>
      </c>
      <c r="F177" t="s">
        <v>13</v>
      </c>
      <c r="G177" t="s">
        <v>686</v>
      </c>
      <c r="H177">
        <v>0</v>
      </c>
      <c r="I177">
        <v>0</v>
      </c>
      <c r="J177">
        <v>0</v>
      </c>
    </row>
    <row r="178" spans="1:10" x14ac:dyDescent="0.35">
      <c r="A178" t="s">
        <v>687</v>
      </c>
      <c r="B178" s="1">
        <v>41218</v>
      </c>
      <c r="C178" t="s">
        <v>688</v>
      </c>
      <c r="D178">
        <v>5</v>
      </c>
      <c r="E178" t="s">
        <v>689</v>
      </c>
      <c r="F178" t="s">
        <v>13</v>
      </c>
      <c r="G178" t="s">
        <v>690</v>
      </c>
      <c r="H178">
        <v>0</v>
      </c>
      <c r="I178">
        <v>0</v>
      </c>
      <c r="J178">
        <v>0</v>
      </c>
    </row>
    <row r="179" spans="1:10" x14ac:dyDescent="0.35">
      <c r="A179" t="s">
        <v>691</v>
      </c>
      <c r="B179" s="1">
        <v>39535</v>
      </c>
      <c r="C179" t="s">
        <v>692</v>
      </c>
      <c r="D179">
        <v>5</v>
      </c>
      <c r="E179" s="2" t="s">
        <v>693</v>
      </c>
      <c r="F179" t="s">
        <v>13</v>
      </c>
      <c r="G179" t="s">
        <v>292</v>
      </c>
      <c r="H179">
        <v>2</v>
      </c>
      <c r="I179">
        <v>3</v>
      </c>
      <c r="J179">
        <v>0</v>
      </c>
    </row>
    <row r="180" spans="1:10" x14ac:dyDescent="0.35">
      <c r="A180" t="s">
        <v>694</v>
      </c>
      <c r="B180" s="1">
        <v>41242</v>
      </c>
      <c r="C180" t="s">
        <v>695</v>
      </c>
      <c r="D180">
        <v>5</v>
      </c>
      <c r="E180" s="2" t="s">
        <v>696</v>
      </c>
      <c r="F180" t="s">
        <v>13</v>
      </c>
      <c r="G180" t="s">
        <v>697</v>
      </c>
      <c r="H180">
        <v>0</v>
      </c>
      <c r="I180">
        <v>0</v>
      </c>
      <c r="J180">
        <v>0</v>
      </c>
    </row>
    <row r="181" spans="1:10" x14ac:dyDescent="0.35">
      <c r="A181" t="s">
        <v>698</v>
      </c>
      <c r="B181" s="1">
        <v>39400</v>
      </c>
      <c r="C181" t="s">
        <v>699</v>
      </c>
      <c r="D181">
        <v>3</v>
      </c>
      <c r="E181" s="2" t="s">
        <v>700</v>
      </c>
      <c r="F181" t="s">
        <v>13</v>
      </c>
      <c r="G181" t="s">
        <v>701</v>
      </c>
      <c r="H181">
        <v>2</v>
      </c>
      <c r="I181">
        <v>2</v>
      </c>
      <c r="J181">
        <v>0</v>
      </c>
    </row>
    <row r="182" spans="1:10" x14ac:dyDescent="0.35">
      <c r="A182" t="s">
        <v>702</v>
      </c>
      <c r="B182" s="1">
        <v>39595</v>
      </c>
      <c r="C182" t="s">
        <v>703</v>
      </c>
      <c r="D182">
        <v>5</v>
      </c>
      <c r="E182" s="2" t="s">
        <v>704</v>
      </c>
      <c r="F182" t="s">
        <v>13</v>
      </c>
      <c r="G182" t="s">
        <v>705</v>
      </c>
      <c r="H182">
        <v>28</v>
      </c>
      <c r="I182">
        <v>28</v>
      </c>
      <c r="J182">
        <v>39</v>
      </c>
    </row>
    <row r="183" spans="1:10" x14ac:dyDescent="0.35">
      <c r="A183" t="s">
        <v>73</v>
      </c>
      <c r="B183" s="1">
        <v>40526</v>
      </c>
      <c r="C183" t="s">
        <v>706</v>
      </c>
      <c r="D183">
        <v>3</v>
      </c>
      <c r="E183" t="s">
        <v>707</v>
      </c>
      <c r="F183" t="s">
        <v>13</v>
      </c>
      <c r="G183" t="s">
        <v>88</v>
      </c>
      <c r="H183">
        <v>1</v>
      </c>
      <c r="I183">
        <v>1</v>
      </c>
      <c r="J183">
        <v>1</v>
      </c>
    </row>
    <row r="184" spans="1:10" x14ac:dyDescent="0.35">
      <c r="A184" t="s">
        <v>708</v>
      </c>
      <c r="B184" s="1">
        <v>40280</v>
      </c>
      <c r="C184" t="s">
        <v>709</v>
      </c>
      <c r="D184">
        <v>5</v>
      </c>
      <c r="E184" s="2" t="s">
        <v>710</v>
      </c>
      <c r="F184" t="s">
        <v>13</v>
      </c>
      <c r="G184" t="s">
        <v>711</v>
      </c>
      <c r="H184">
        <v>0</v>
      </c>
      <c r="I184">
        <v>3</v>
      </c>
      <c r="J184">
        <v>2</v>
      </c>
    </row>
    <row r="185" spans="1:10" x14ac:dyDescent="0.35">
      <c r="A185" t="s">
        <v>712</v>
      </c>
      <c r="B185" s="1">
        <v>41175</v>
      </c>
      <c r="C185" t="s">
        <v>713</v>
      </c>
      <c r="D185">
        <v>5</v>
      </c>
      <c r="E185" t="s">
        <v>714</v>
      </c>
      <c r="F185" t="s">
        <v>13</v>
      </c>
      <c r="G185" t="s">
        <v>715</v>
      </c>
      <c r="H185">
        <v>0</v>
      </c>
      <c r="I185">
        <v>1</v>
      </c>
      <c r="J185">
        <v>0</v>
      </c>
    </row>
    <row r="186" spans="1:10" x14ac:dyDescent="0.35">
      <c r="A186" t="s">
        <v>716</v>
      </c>
      <c r="B186" s="1">
        <v>41121</v>
      </c>
      <c r="C186" t="s">
        <v>717</v>
      </c>
      <c r="D186">
        <v>5</v>
      </c>
      <c r="E186" t="s">
        <v>718</v>
      </c>
      <c r="F186" t="s">
        <v>13</v>
      </c>
      <c r="G186" t="s">
        <v>719</v>
      </c>
      <c r="H186">
        <v>0</v>
      </c>
      <c r="I186">
        <v>0</v>
      </c>
      <c r="J186">
        <v>0</v>
      </c>
    </row>
    <row r="187" spans="1:10" x14ac:dyDescent="0.35">
      <c r="A187" t="s">
        <v>720</v>
      </c>
      <c r="B187" s="1">
        <v>40496</v>
      </c>
      <c r="C187" t="s">
        <v>721</v>
      </c>
      <c r="D187">
        <v>5</v>
      </c>
      <c r="E187" t="s">
        <v>722</v>
      </c>
      <c r="F187" t="s">
        <v>13</v>
      </c>
      <c r="G187" t="s">
        <v>723</v>
      </c>
      <c r="H187">
        <v>0</v>
      </c>
      <c r="I187">
        <v>1</v>
      </c>
      <c r="J187">
        <v>0</v>
      </c>
    </row>
    <row r="188" spans="1:10" x14ac:dyDescent="0.35">
      <c r="A188" t="s">
        <v>724</v>
      </c>
      <c r="B188" s="1">
        <v>41213</v>
      </c>
      <c r="C188" t="s">
        <v>725</v>
      </c>
      <c r="D188">
        <v>4</v>
      </c>
      <c r="E188" s="2" t="s">
        <v>726</v>
      </c>
      <c r="F188" t="s">
        <v>13</v>
      </c>
      <c r="G188" t="s">
        <v>727</v>
      </c>
      <c r="H188">
        <v>0</v>
      </c>
      <c r="I188">
        <v>0</v>
      </c>
      <c r="J188">
        <v>0</v>
      </c>
    </row>
    <row r="189" spans="1:10" x14ac:dyDescent="0.35">
      <c r="A189" t="s">
        <v>728</v>
      </c>
      <c r="B189" s="1">
        <v>39938</v>
      </c>
      <c r="C189" t="s">
        <v>729</v>
      </c>
      <c r="D189">
        <v>4</v>
      </c>
      <c r="E189" s="2" t="s">
        <v>730</v>
      </c>
      <c r="F189" t="s">
        <v>13</v>
      </c>
      <c r="G189" t="s">
        <v>731</v>
      </c>
      <c r="H189">
        <v>1</v>
      </c>
      <c r="I189">
        <v>0</v>
      </c>
      <c r="J189">
        <v>0</v>
      </c>
    </row>
    <row r="190" spans="1:10" x14ac:dyDescent="0.35">
      <c r="A190" t="s">
        <v>732</v>
      </c>
      <c r="B190" s="1">
        <v>39104</v>
      </c>
      <c r="C190" t="s">
        <v>733</v>
      </c>
      <c r="D190">
        <v>5</v>
      </c>
      <c r="E190" t="s">
        <v>734</v>
      </c>
      <c r="F190" t="s">
        <v>13</v>
      </c>
      <c r="G190" t="s">
        <v>735</v>
      </c>
      <c r="H190">
        <v>0</v>
      </c>
      <c r="I190">
        <v>0</v>
      </c>
      <c r="J190">
        <v>4</v>
      </c>
    </row>
    <row r="191" spans="1:10" x14ac:dyDescent="0.35">
      <c r="A191" t="s">
        <v>736</v>
      </c>
      <c r="B191" s="1">
        <v>40887</v>
      </c>
      <c r="C191" t="s">
        <v>737</v>
      </c>
      <c r="D191">
        <v>5</v>
      </c>
      <c r="E191" t="s">
        <v>738</v>
      </c>
      <c r="F191" t="s">
        <v>13</v>
      </c>
      <c r="G191" t="s">
        <v>739</v>
      </c>
      <c r="H191">
        <v>0</v>
      </c>
      <c r="I191">
        <v>0</v>
      </c>
      <c r="J191">
        <v>0</v>
      </c>
    </row>
    <row r="192" spans="1:10" x14ac:dyDescent="0.35">
      <c r="A192" t="s">
        <v>740</v>
      </c>
      <c r="B192" s="1">
        <v>39854</v>
      </c>
      <c r="C192" t="s">
        <v>741</v>
      </c>
      <c r="D192">
        <v>1</v>
      </c>
      <c r="E192" s="2" t="s">
        <v>742</v>
      </c>
      <c r="F192" t="s">
        <v>13</v>
      </c>
      <c r="G192" t="s">
        <v>743</v>
      </c>
      <c r="H192">
        <v>4</v>
      </c>
      <c r="I192">
        <v>6</v>
      </c>
      <c r="J192">
        <v>7</v>
      </c>
    </row>
    <row r="193" spans="1:10" x14ac:dyDescent="0.35">
      <c r="A193" t="s">
        <v>744</v>
      </c>
      <c r="B193" s="1">
        <v>40704</v>
      </c>
      <c r="C193" t="s">
        <v>745</v>
      </c>
      <c r="D193">
        <v>4</v>
      </c>
      <c r="E193" t="s">
        <v>746</v>
      </c>
      <c r="F193" t="s">
        <v>13</v>
      </c>
      <c r="G193" t="s">
        <v>747</v>
      </c>
      <c r="H193">
        <v>0</v>
      </c>
      <c r="I193">
        <v>0</v>
      </c>
      <c r="J193">
        <v>0</v>
      </c>
    </row>
    <row r="194" spans="1:10" x14ac:dyDescent="0.35">
      <c r="A194" t="s">
        <v>748</v>
      </c>
      <c r="B194" s="1">
        <v>41111</v>
      </c>
      <c r="C194" t="s">
        <v>749</v>
      </c>
      <c r="D194">
        <v>4</v>
      </c>
      <c r="E194" t="s">
        <v>750</v>
      </c>
      <c r="F194" t="s">
        <v>13</v>
      </c>
      <c r="G194" t="s">
        <v>751</v>
      </c>
      <c r="H194">
        <v>0</v>
      </c>
      <c r="I194">
        <v>2</v>
      </c>
      <c r="J194">
        <v>0</v>
      </c>
    </row>
    <row r="195" spans="1:10" x14ac:dyDescent="0.35">
      <c r="A195" t="s">
        <v>105</v>
      </c>
      <c r="B195" s="1">
        <v>40408</v>
      </c>
      <c r="C195" t="s">
        <v>752</v>
      </c>
      <c r="D195">
        <v>5</v>
      </c>
      <c r="E195" s="2" t="s">
        <v>753</v>
      </c>
      <c r="F195" t="s">
        <v>13</v>
      </c>
      <c r="G195" t="s">
        <v>433</v>
      </c>
      <c r="H195">
        <v>1</v>
      </c>
      <c r="I195">
        <v>1</v>
      </c>
      <c r="J195">
        <v>1</v>
      </c>
    </row>
    <row r="196" spans="1:10" x14ac:dyDescent="0.35">
      <c r="A196" t="s">
        <v>754</v>
      </c>
      <c r="B196" s="1">
        <v>40917</v>
      </c>
      <c r="C196" t="s">
        <v>755</v>
      </c>
      <c r="D196">
        <v>3</v>
      </c>
      <c r="E196" s="2" t="s">
        <v>756</v>
      </c>
      <c r="F196" t="s">
        <v>13</v>
      </c>
      <c r="G196" t="s">
        <v>757</v>
      </c>
      <c r="H196">
        <v>1</v>
      </c>
      <c r="I196">
        <v>1</v>
      </c>
      <c r="J196">
        <v>1</v>
      </c>
    </row>
    <row r="197" spans="1:10" x14ac:dyDescent="0.35">
      <c r="A197" t="s">
        <v>728</v>
      </c>
      <c r="B197" s="1">
        <v>40542</v>
      </c>
      <c r="C197" t="s">
        <v>758</v>
      </c>
      <c r="D197">
        <v>4</v>
      </c>
      <c r="E197" t="s">
        <v>759</v>
      </c>
      <c r="F197" t="s">
        <v>13</v>
      </c>
      <c r="G197" t="s">
        <v>760</v>
      </c>
      <c r="H197">
        <v>0</v>
      </c>
      <c r="I197">
        <v>1</v>
      </c>
      <c r="J197">
        <v>0</v>
      </c>
    </row>
    <row r="198" spans="1:10" x14ac:dyDescent="0.35">
      <c r="A198" t="s">
        <v>761</v>
      </c>
      <c r="B198" s="1">
        <v>40921</v>
      </c>
      <c r="C198" t="s">
        <v>762</v>
      </c>
      <c r="D198">
        <v>2</v>
      </c>
      <c r="E198" s="2" t="s">
        <v>763</v>
      </c>
      <c r="F198" t="s">
        <v>13</v>
      </c>
      <c r="G198" t="e">
        <f>-V3CXSxnUzjkLVqi1xGrkA</f>
        <v>#NAME?</v>
      </c>
      <c r="H198">
        <v>0</v>
      </c>
      <c r="I198">
        <v>0</v>
      </c>
      <c r="J198">
        <v>0</v>
      </c>
    </row>
    <row r="199" spans="1:10" x14ac:dyDescent="0.35">
      <c r="A199" t="s">
        <v>764</v>
      </c>
      <c r="B199" s="1">
        <v>41114</v>
      </c>
      <c r="C199" t="s">
        <v>765</v>
      </c>
      <c r="D199">
        <v>3</v>
      </c>
      <c r="E199" s="2" t="s">
        <v>766</v>
      </c>
      <c r="F199" t="s">
        <v>13</v>
      </c>
      <c r="G199" t="s">
        <v>767</v>
      </c>
      <c r="H199">
        <v>1</v>
      </c>
      <c r="I199">
        <v>1</v>
      </c>
      <c r="J199">
        <v>0</v>
      </c>
    </row>
    <row r="200" spans="1:10" x14ac:dyDescent="0.35">
      <c r="A200" t="s">
        <v>768</v>
      </c>
      <c r="B200" s="1">
        <v>39927</v>
      </c>
      <c r="C200" t="s">
        <v>769</v>
      </c>
      <c r="D200">
        <v>4</v>
      </c>
      <c r="E200" s="2" t="s">
        <v>770</v>
      </c>
      <c r="F200" t="s">
        <v>13</v>
      </c>
      <c r="G200" t="s">
        <v>771</v>
      </c>
      <c r="H200">
        <v>2</v>
      </c>
      <c r="I200">
        <v>3</v>
      </c>
      <c r="J200">
        <v>3</v>
      </c>
    </row>
    <row r="201" spans="1:10" x14ac:dyDescent="0.35">
      <c r="A201" t="s">
        <v>772</v>
      </c>
      <c r="B201" s="1">
        <v>41247</v>
      </c>
      <c r="C201" t="s">
        <v>773</v>
      </c>
      <c r="D201">
        <v>5</v>
      </c>
      <c r="E201" t="s">
        <v>774</v>
      </c>
      <c r="F201" t="s">
        <v>13</v>
      </c>
      <c r="G201" t="s">
        <v>775</v>
      </c>
      <c r="H201">
        <v>2</v>
      </c>
      <c r="I201">
        <v>2</v>
      </c>
      <c r="J201">
        <v>2</v>
      </c>
    </row>
    <row r="202" spans="1:10" x14ac:dyDescent="0.35">
      <c r="A202" t="s">
        <v>776</v>
      </c>
      <c r="B202" s="1">
        <v>39636</v>
      </c>
      <c r="C202" t="s">
        <v>777</v>
      </c>
      <c r="D202">
        <v>5</v>
      </c>
      <c r="E202" t="s">
        <v>778</v>
      </c>
      <c r="F202" t="s">
        <v>13</v>
      </c>
      <c r="G202" t="s">
        <v>779</v>
      </c>
      <c r="H202">
        <v>0</v>
      </c>
      <c r="I202">
        <v>0</v>
      </c>
      <c r="J202">
        <v>1</v>
      </c>
    </row>
    <row r="203" spans="1:10" x14ac:dyDescent="0.35">
      <c r="A203" t="s">
        <v>780</v>
      </c>
      <c r="B203" s="1">
        <v>40291</v>
      </c>
      <c r="C203" t="s">
        <v>781</v>
      </c>
      <c r="D203">
        <v>5</v>
      </c>
      <c r="E203" t="s">
        <v>782</v>
      </c>
      <c r="F203" t="s">
        <v>13</v>
      </c>
      <c r="G203" t="s">
        <v>783</v>
      </c>
      <c r="H203">
        <v>1</v>
      </c>
      <c r="I203">
        <v>1</v>
      </c>
      <c r="J203">
        <v>1</v>
      </c>
    </row>
    <row r="204" spans="1:10" x14ac:dyDescent="0.35">
      <c r="A204" t="s">
        <v>784</v>
      </c>
      <c r="B204" s="1">
        <v>40260</v>
      </c>
      <c r="C204" t="s">
        <v>785</v>
      </c>
      <c r="D204">
        <v>5</v>
      </c>
      <c r="E204" s="2" t="s">
        <v>786</v>
      </c>
      <c r="F204" t="s">
        <v>13</v>
      </c>
      <c r="G204" t="s">
        <v>787</v>
      </c>
      <c r="H204">
        <v>1</v>
      </c>
      <c r="I204">
        <v>2</v>
      </c>
      <c r="J204">
        <v>1</v>
      </c>
    </row>
    <row r="205" spans="1:10" x14ac:dyDescent="0.35">
      <c r="A205" t="s">
        <v>788</v>
      </c>
      <c r="B205" s="1">
        <v>41248</v>
      </c>
      <c r="C205" t="s">
        <v>789</v>
      </c>
      <c r="D205">
        <v>4</v>
      </c>
      <c r="E205" s="2" t="s">
        <v>790</v>
      </c>
      <c r="F205" t="s">
        <v>13</v>
      </c>
      <c r="G205" t="s">
        <v>791</v>
      </c>
      <c r="H205">
        <v>1</v>
      </c>
      <c r="I205">
        <v>1</v>
      </c>
      <c r="J205">
        <v>1</v>
      </c>
    </row>
    <row r="206" spans="1:10" x14ac:dyDescent="0.35">
      <c r="A206" t="s">
        <v>792</v>
      </c>
      <c r="B206" s="1">
        <v>39940</v>
      </c>
      <c r="C206" t="s">
        <v>793</v>
      </c>
      <c r="D206">
        <v>4</v>
      </c>
      <c r="E206" t="s">
        <v>794</v>
      </c>
      <c r="F206" t="s">
        <v>13</v>
      </c>
      <c r="G206" t="s">
        <v>795</v>
      </c>
      <c r="H206">
        <v>0</v>
      </c>
      <c r="I206">
        <v>0</v>
      </c>
      <c r="J206">
        <v>0</v>
      </c>
    </row>
    <row r="207" spans="1:10" x14ac:dyDescent="0.35">
      <c r="A207" t="s">
        <v>796</v>
      </c>
      <c r="B207" s="1">
        <v>40568</v>
      </c>
      <c r="C207" t="s">
        <v>797</v>
      </c>
      <c r="D207">
        <v>5</v>
      </c>
      <c r="E207" s="2" t="s">
        <v>798</v>
      </c>
      <c r="F207" t="s">
        <v>13</v>
      </c>
      <c r="G207" t="s">
        <v>799</v>
      </c>
      <c r="H207">
        <v>2</v>
      </c>
      <c r="I207">
        <v>2</v>
      </c>
      <c r="J207">
        <v>3</v>
      </c>
    </row>
    <row r="208" spans="1:10" x14ac:dyDescent="0.35">
      <c r="A208" t="s">
        <v>69</v>
      </c>
      <c r="B208" s="1">
        <v>40184</v>
      </c>
      <c r="C208" t="s">
        <v>800</v>
      </c>
      <c r="D208">
        <v>5</v>
      </c>
      <c r="E208" s="2" t="s">
        <v>801</v>
      </c>
      <c r="F208" t="s">
        <v>13</v>
      </c>
      <c r="G208" t="s">
        <v>802</v>
      </c>
      <c r="H208">
        <v>0</v>
      </c>
      <c r="I208">
        <v>1</v>
      </c>
      <c r="J208">
        <v>1</v>
      </c>
    </row>
    <row r="209" spans="1:10" x14ac:dyDescent="0.35">
      <c r="A209" t="s">
        <v>803</v>
      </c>
      <c r="B209" s="1">
        <v>40690</v>
      </c>
      <c r="C209" t="s">
        <v>804</v>
      </c>
      <c r="D209">
        <v>4</v>
      </c>
      <c r="E209" t="s">
        <v>805</v>
      </c>
      <c r="F209" t="s">
        <v>13</v>
      </c>
      <c r="G209" t="s">
        <v>806</v>
      </c>
      <c r="H209">
        <v>0</v>
      </c>
      <c r="I209">
        <v>0</v>
      </c>
      <c r="J209">
        <v>0</v>
      </c>
    </row>
    <row r="210" spans="1:10" x14ac:dyDescent="0.35">
      <c r="A210" t="s">
        <v>807</v>
      </c>
      <c r="B210" s="1">
        <v>41099</v>
      </c>
      <c r="C210" t="s">
        <v>808</v>
      </c>
      <c r="D210">
        <v>1</v>
      </c>
      <c r="E210" s="2" t="s">
        <v>809</v>
      </c>
      <c r="F210" t="s">
        <v>13</v>
      </c>
      <c r="G210" t="s">
        <v>810</v>
      </c>
      <c r="H210">
        <v>0</v>
      </c>
      <c r="I210">
        <v>2</v>
      </c>
      <c r="J210">
        <v>1</v>
      </c>
    </row>
    <row r="211" spans="1:10" x14ac:dyDescent="0.35">
      <c r="A211" t="s">
        <v>811</v>
      </c>
      <c r="B211" s="1">
        <v>40652</v>
      </c>
      <c r="C211" t="s">
        <v>812</v>
      </c>
      <c r="D211">
        <v>4</v>
      </c>
      <c r="E211" s="2" t="s">
        <v>813</v>
      </c>
      <c r="F211" t="s">
        <v>13</v>
      </c>
      <c r="G211" t="s">
        <v>814</v>
      </c>
      <c r="H211">
        <v>3</v>
      </c>
      <c r="I211">
        <v>5</v>
      </c>
      <c r="J211">
        <v>3</v>
      </c>
    </row>
    <row r="212" spans="1:10" x14ac:dyDescent="0.35">
      <c r="A212" t="s">
        <v>815</v>
      </c>
      <c r="B212" s="1">
        <v>39686</v>
      </c>
      <c r="C212" t="s">
        <v>816</v>
      </c>
      <c r="D212">
        <v>3</v>
      </c>
      <c r="E212" s="2" t="s">
        <v>817</v>
      </c>
      <c r="F212" t="s">
        <v>13</v>
      </c>
      <c r="G212" t="s">
        <v>818</v>
      </c>
      <c r="H212">
        <v>2</v>
      </c>
      <c r="I212">
        <v>2</v>
      </c>
      <c r="J212">
        <v>0</v>
      </c>
    </row>
    <row r="213" spans="1:10" x14ac:dyDescent="0.35">
      <c r="A213" t="s">
        <v>819</v>
      </c>
      <c r="B213" s="1">
        <v>41064</v>
      </c>
      <c r="C213" t="s">
        <v>820</v>
      </c>
      <c r="D213">
        <v>3</v>
      </c>
      <c r="E213" s="2" t="s">
        <v>821</v>
      </c>
      <c r="F213" t="s">
        <v>13</v>
      </c>
      <c r="G213" t="s">
        <v>822</v>
      </c>
      <c r="H213">
        <v>2</v>
      </c>
      <c r="I213">
        <v>1</v>
      </c>
      <c r="J213">
        <v>0</v>
      </c>
    </row>
    <row r="214" spans="1:10" x14ac:dyDescent="0.35">
      <c r="A214" t="s">
        <v>823</v>
      </c>
      <c r="B214" s="1">
        <v>40904</v>
      </c>
      <c r="C214" t="s">
        <v>824</v>
      </c>
      <c r="D214">
        <v>1</v>
      </c>
      <c r="E214" s="2" t="s">
        <v>825</v>
      </c>
      <c r="F214" t="s">
        <v>13</v>
      </c>
      <c r="G214" t="s">
        <v>826</v>
      </c>
      <c r="H214">
        <v>2</v>
      </c>
      <c r="I214">
        <v>4</v>
      </c>
      <c r="J214">
        <v>0</v>
      </c>
    </row>
    <row r="215" spans="1:10" x14ac:dyDescent="0.35">
      <c r="A215" t="s">
        <v>827</v>
      </c>
      <c r="B215" s="1">
        <v>40959</v>
      </c>
      <c r="C215" t="s">
        <v>828</v>
      </c>
      <c r="D215">
        <v>5</v>
      </c>
      <c r="E215" t="s">
        <v>829</v>
      </c>
      <c r="F215" t="s">
        <v>13</v>
      </c>
      <c r="G215" t="s">
        <v>830</v>
      </c>
      <c r="H215">
        <v>0</v>
      </c>
      <c r="I215">
        <v>2</v>
      </c>
      <c r="J215">
        <v>0</v>
      </c>
    </row>
    <row r="216" spans="1:10" x14ac:dyDescent="0.35">
      <c r="A216" t="s">
        <v>831</v>
      </c>
      <c r="B216" s="1">
        <v>39562</v>
      </c>
      <c r="C216" t="s">
        <v>832</v>
      </c>
      <c r="D216">
        <v>4</v>
      </c>
      <c r="E216" s="2" t="s">
        <v>833</v>
      </c>
      <c r="F216" t="s">
        <v>13</v>
      </c>
      <c r="G216" t="s">
        <v>834</v>
      </c>
      <c r="H216">
        <v>1</v>
      </c>
      <c r="I216">
        <v>1</v>
      </c>
      <c r="J216">
        <v>0</v>
      </c>
    </row>
    <row r="217" spans="1:10" x14ac:dyDescent="0.35">
      <c r="A217" t="s">
        <v>453</v>
      </c>
      <c r="B217" s="1">
        <v>41038</v>
      </c>
      <c r="C217" t="s">
        <v>835</v>
      </c>
      <c r="D217">
        <v>5</v>
      </c>
      <c r="E217" s="2" t="s">
        <v>836</v>
      </c>
      <c r="F217" t="s">
        <v>13</v>
      </c>
      <c r="G217" t="s">
        <v>837</v>
      </c>
      <c r="H217">
        <v>0</v>
      </c>
      <c r="I217">
        <v>1</v>
      </c>
      <c r="J217">
        <v>0</v>
      </c>
    </row>
    <row r="218" spans="1:10" x14ac:dyDescent="0.35">
      <c r="A218" t="s">
        <v>838</v>
      </c>
      <c r="B218" s="1">
        <v>40625</v>
      </c>
      <c r="C218" t="s">
        <v>839</v>
      </c>
      <c r="D218">
        <v>4</v>
      </c>
      <c r="E218" s="2" t="s">
        <v>840</v>
      </c>
      <c r="F218" t="s">
        <v>13</v>
      </c>
      <c r="G218" t="s">
        <v>841</v>
      </c>
      <c r="H218">
        <v>0</v>
      </c>
      <c r="I218">
        <v>0</v>
      </c>
      <c r="J218">
        <v>1</v>
      </c>
    </row>
    <row r="219" spans="1:10" x14ac:dyDescent="0.35">
      <c r="A219" t="s">
        <v>842</v>
      </c>
      <c r="B219" s="1">
        <v>40967</v>
      </c>
      <c r="C219" t="s">
        <v>843</v>
      </c>
      <c r="D219">
        <v>5</v>
      </c>
      <c r="E219" t="s">
        <v>844</v>
      </c>
      <c r="F219" t="s">
        <v>13</v>
      </c>
      <c r="G219" t="s">
        <v>845</v>
      </c>
      <c r="H219">
        <v>0</v>
      </c>
      <c r="I219">
        <v>2</v>
      </c>
      <c r="J219">
        <v>0</v>
      </c>
    </row>
    <row r="220" spans="1:10" x14ac:dyDescent="0.35">
      <c r="A220" t="s">
        <v>846</v>
      </c>
      <c r="B220" s="1">
        <v>39803</v>
      </c>
      <c r="C220" t="s">
        <v>847</v>
      </c>
      <c r="D220">
        <v>2</v>
      </c>
      <c r="E220" s="2" t="s">
        <v>848</v>
      </c>
      <c r="F220" t="s">
        <v>13</v>
      </c>
      <c r="G220" t="s">
        <v>849</v>
      </c>
      <c r="H220">
        <v>5</v>
      </c>
      <c r="I220">
        <v>7</v>
      </c>
      <c r="J220">
        <v>3</v>
      </c>
    </row>
    <row r="221" spans="1:10" x14ac:dyDescent="0.35">
      <c r="A221" t="s">
        <v>661</v>
      </c>
      <c r="B221" s="1">
        <v>39330</v>
      </c>
      <c r="C221" t="s">
        <v>850</v>
      </c>
      <c r="D221">
        <v>4</v>
      </c>
      <c r="E221" s="2" t="s">
        <v>851</v>
      </c>
      <c r="F221" t="s">
        <v>13</v>
      </c>
      <c r="G221" t="s">
        <v>852</v>
      </c>
      <c r="H221">
        <v>1</v>
      </c>
      <c r="I221">
        <v>2</v>
      </c>
      <c r="J221">
        <v>0</v>
      </c>
    </row>
    <row r="222" spans="1:10" x14ac:dyDescent="0.35">
      <c r="A222" t="s">
        <v>853</v>
      </c>
      <c r="B222" s="1">
        <v>39105</v>
      </c>
      <c r="C222" t="s">
        <v>854</v>
      </c>
      <c r="D222">
        <v>4</v>
      </c>
      <c r="E222" s="2" t="s">
        <v>855</v>
      </c>
      <c r="F222" t="s">
        <v>13</v>
      </c>
      <c r="G222" t="s">
        <v>856</v>
      </c>
      <c r="H222">
        <v>2</v>
      </c>
      <c r="I222">
        <v>2</v>
      </c>
      <c r="J222">
        <v>8</v>
      </c>
    </row>
    <row r="223" spans="1:10" x14ac:dyDescent="0.35">
      <c r="A223" t="s">
        <v>857</v>
      </c>
      <c r="B223" s="1">
        <v>40905</v>
      </c>
      <c r="C223" t="s">
        <v>858</v>
      </c>
      <c r="D223">
        <v>3</v>
      </c>
      <c r="E223" t="s">
        <v>859</v>
      </c>
      <c r="F223" t="s">
        <v>13</v>
      </c>
      <c r="G223" t="s">
        <v>860</v>
      </c>
      <c r="H223">
        <v>0</v>
      </c>
      <c r="I223">
        <v>0</v>
      </c>
      <c r="J223">
        <v>0</v>
      </c>
    </row>
    <row r="224" spans="1:10" x14ac:dyDescent="0.35">
      <c r="A224" t="s">
        <v>861</v>
      </c>
      <c r="B224" s="1">
        <v>40789</v>
      </c>
      <c r="C224" t="s">
        <v>862</v>
      </c>
      <c r="D224">
        <v>5</v>
      </c>
      <c r="E224" s="2" t="s">
        <v>863</v>
      </c>
      <c r="F224" t="s">
        <v>13</v>
      </c>
      <c r="G224" t="s">
        <v>864</v>
      </c>
      <c r="H224">
        <v>0</v>
      </c>
      <c r="I224">
        <v>2</v>
      </c>
      <c r="J224">
        <v>0</v>
      </c>
    </row>
    <row r="225" spans="1:10" x14ac:dyDescent="0.35">
      <c r="A225" t="s">
        <v>256</v>
      </c>
      <c r="B225" s="1">
        <v>40652</v>
      </c>
      <c r="C225" t="s">
        <v>865</v>
      </c>
      <c r="D225">
        <v>3</v>
      </c>
      <c r="E225" s="2" t="s">
        <v>866</v>
      </c>
      <c r="F225" t="s">
        <v>13</v>
      </c>
      <c r="G225" t="s">
        <v>867</v>
      </c>
      <c r="H225">
        <v>0</v>
      </c>
      <c r="I225">
        <v>2</v>
      </c>
      <c r="J225">
        <v>0</v>
      </c>
    </row>
    <row r="226" spans="1:10" x14ac:dyDescent="0.35">
      <c r="A226" t="s">
        <v>868</v>
      </c>
      <c r="B226" s="1">
        <v>39921</v>
      </c>
      <c r="C226" t="s">
        <v>869</v>
      </c>
      <c r="D226">
        <v>4</v>
      </c>
      <c r="E226" t="s">
        <v>870</v>
      </c>
      <c r="F226" t="s">
        <v>13</v>
      </c>
      <c r="G226" t="s">
        <v>871</v>
      </c>
      <c r="H226">
        <v>1</v>
      </c>
      <c r="I226">
        <v>2</v>
      </c>
      <c r="J226">
        <v>1</v>
      </c>
    </row>
    <row r="227" spans="1:10" x14ac:dyDescent="0.35">
      <c r="A227" t="s">
        <v>872</v>
      </c>
      <c r="B227" s="1">
        <v>40419</v>
      </c>
      <c r="C227" t="s">
        <v>873</v>
      </c>
      <c r="D227">
        <v>2</v>
      </c>
      <c r="E227" s="2" t="s">
        <v>874</v>
      </c>
      <c r="F227" t="s">
        <v>13</v>
      </c>
      <c r="G227" t="s">
        <v>875</v>
      </c>
      <c r="H227">
        <v>0</v>
      </c>
      <c r="I227">
        <v>0</v>
      </c>
      <c r="J227">
        <v>0</v>
      </c>
    </row>
    <row r="228" spans="1:10" x14ac:dyDescent="0.35">
      <c r="A228" t="s">
        <v>496</v>
      </c>
      <c r="B228" s="1">
        <v>40539</v>
      </c>
      <c r="C228" t="s">
        <v>876</v>
      </c>
      <c r="D228">
        <v>5</v>
      </c>
      <c r="E228" s="2" t="s">
        <v>877</v>
      </c>
      <c r="F228" t="s">
        <v>13</v>
      </c>
      <c r="G228" t="s">
        <v>878</v>
      </c>
      <c r="H228">
        <v>1</v>
      </c>
      <c r="I228">
        <v>2</v>
      </c>
      <c r="J228">
        <v>0</v>
      </c>
    </row>
    <row r="229" spans="1:10" x14ac:dyDescent="0.35">
      <c r="A229" t="s">
        <v>879</v>
      </c>
      <c r="B229" s="1">
        <v>39616</v>
      </c>
      <c r="C229" t="s">
        <v>880</v>
      </c>
      <c r="D229">
        <v>5</v>
      </c>
      <c r="E229" s="2" t="s">
        <v>881</v>
      </c>
      <c r="F229" t="s">
        <v>13</v>
      </c>
      <c r="G229" t="s">
        <v>882</v>
      </c>
      <c r="H229">
        <v>6</v>
      </c>
      <c r="I229">
        <v>8</v>
      </c>
      <c r="J229">
        <v>4</v>
      </c>
    </row>
    <row r="230" spans="1:10" x14ac:dyDescent="0.35">
      <c r="A230" t="s">
        <v>883</v>
      </c>
      <c r="B230" s="1">
        <v>39301</v>
      </c>
      <c r="C230" t="s">
        <v>884</v>
      </c>
      <c r="D230">
        <v>5</v>
      </c>
      <c r="E230" s="2" t="s">
        <v>885</v>
      </c>
      <c r="F230" t="s">
        <v>13</v>
      </c>
      <c r="G230" t="s">
        <v>886</v>
      </c>
      <c r="H230">
        <v>2</v>
      </c>
      <c r="I230">
        <v>4</v>
      </c>
      <c r="J230">
        <v>0</v>
      </c>
    </row>
    <row r="231" spans="1:10" x14ac:dyDescent="0.35">
      <c r="A231" t="s">
        <v>887</v>
      </c>
      <c r="B231" s="1">
        <v>41156</v>
      </c>
      <c r="C231" t="s">
        <v>888</v>
      </c>
      <c r="D231">
        <v>5</v>
      </c>
      <c r="E231" s="2" t="s">
        <v>889</v>
      </c>
      <c r="F231" t="s">
        <v>13</v>
      </c>
      <c r="G231" t="s">
        <v>890</v>
      </c>
      <c r="H231">
        <v>0</v>
      </c>
      <c r="I231">
        <v>1</v>
      </c>
      <c r="J231">
        <v>1</v>
      </c>
    </row>
    <row r="232" spans="1:10" x14ac:dyDescent="0.35">
      <c r="A232" t="s">
        <v>891</v>
      </c>
      <c r="B232" s="1">
        <v>40446</v>
      </c>
      <c r="C232" t="s">
        <v>892</v>
      </c>
      <c r="D232">
        <v>4</v>
      </c>
      <c r="E232" s="2" t="s">
        <v>893</v>
      </c>
      <c r="F232" t="s">
        <v>13</v>
      </c>
      <c r="G232" t="s">
        <v>894</v>
      </c>
      <c r="H232">
        <v>1</v>
      </c>
      <c r="I232">
        <v>1</v>
      </c>
      <c r="J232">
        <v>1</v>
      </c>
    </row>
    <row r="233" spans="1:10" x14ac:dyDescent="0.35">
      <c r="A233" t="s">
        <v>895</v>
      </c>
      <c r="B233" s="1">
        <v>41035</v>
      </c>
      <c r="C233" t="s">
        <v>896</v>
      </c>
      <c r="D233">
        <v>4</v>
      </c>
      <c r="E233" s="2" t="s">
        <v>897</v>
      </c>
      <c r="F233" t="s">
        <v>13</v>
      </c>
      <c r="G233" t="s">
        <v>898</v>
      </c>
      <c r="H233">
        <v>0</v>
      </c>
      <c r="I233">
        <v>2</v>
      </c>
      <c r="J233">
        <v>0</v>
      </c>
    </row>
    <row r="234" spans="1:10" x14ac:dyDescent="0.35">
      <c r="A234" t="s">
        <v>899</v>
      </c>
      <c r="B234" s="1">
        <v>40195</v>
      </c>
      <c r="C234" t="s">
        <v>900</v>
      </c>
      <c r="D234">
        <v>2</v>
      </c>
      <c r="E234" s="2" t="s">
        <v>901</v>
      </c>
      <c r="F234" t="s">
        <v>13</v>
      </c>
      <c r="G234" t="s">
        <v>902</v>
      </c>
      <c r="H234">
        <v>2</v>
      </c>
      <c r="I234">
        <v>5</v>
      </c>
      <c r="J234">
        <v>2</v>
      </c>
    </row>
    <row r="235" spans="1:10" x14ac:dyDescent="0.35">
      <c r="A235" t="s">
        <v>903</v>
      </c>
      <c r="B235" s="1">
        <v>40204</v>
      </c>
      <c r="C235" t="s">
        <v>904</v>
      </c>
      <c r="D235">
        <v>3</v>
      </c>
      <c r="E235" s="2" t="s">
        <v>905</v>
      </c>
      <c r="F235" t="s">
        <v>13</v>
      </c>
      <c r="G235" t="s">
        <v>906</v>
      </c>
      <c r="H235">
        <v>1</v>
      </c>
      <c r="I235">
        <v>1</v>
      </c>
      <c r="J235">
        <v>1</v>
      </c>
    </row>
    <row r="236" spans="1:10" x14ac:dyDescent="0.35">
      <c r="A236" t="s">
        <v>907</v>
      </c>
      <c r="B236" s="1">
        <v>41056</v>
      </c>
      <c r="C236" t="s">
        <v>908</v>
      </c>
      <c r="D236">
        <v>1</v>
      </c>
      <c r="E236" t="s">
        <v>909</v>
      </c>
      <c r="F236" t="s">
        <v>13</v>
      </c>
      <c r="G236" t="s">
        <v>910</v>
      </c>
      <c r="H236">
        <v>0</v>
      </c>
      <c r="I236">
        <v>0</v>
      </c>
      <c r="J236">
        <v>0</v>
      </c>
    </row>
    <row r="237" spans="1:10" x14ac:dyDescent="0.35">
      <c r="A237" t="s">
        <v>911</v>
      </c>
      <c r="B237" s="1">
        <v>39618</v>
      </c>
      <c r="C237" t="s">
        <v>912</v>
      </c>
      <c r="D237">
        <v>2</v>
      </c>
      <c r="E237" s="2" t="s">
        <v>913</v>
      </c>
      <c r="F237" t="s">
        <v>13</v>
      </c>
      <c r="G237" t="s">
        <v>914</v>
      </c>
      <c r="H237">
        <v>2</v>
      </c>
      <c r="I237">
        <v>3</v>
      </c>
      <c r="J237">
        <v>2</v>
      </c>
    </row>
    <row r="238" spans="1:10" x14ac:dyDescent="0.35">
      <c r="A238" t="s">
        <v>915</v>
      </c>
      <c r="B238" s="1">
        <v>40057</v>
      </c>
      <c r="C238" t="s">
        <v>916</v>
      </c>
      <c r="D238">
        <v>4</v>
      </c>
      <c r="E238" s="2" t="s">
        <v>917</v>
      </c>
      <c r="F238" t="s">
        <v>13</v>
      </c>
      <c r="G238" t="s">
        <v>918</v>
      </c>
      <c r="H238">
        <v>0</v>
      </c>
      <c r="I238">
        <v>0</v>
      </c>
      <c r="J238">
        <v>0</v>
      </c>
    </row>
    <row r="239" spans="1:10" x14ac:dyDescent="0.35">
      <c r="A239" t="s">
        <v>919</v>
      </c>
      <c r="B239" s="1">
        <v>39755</v>
      </c>
      <c r="C239" t="s">
        <v>920</v>
      </c>
      <c r="D239">
        <v>2</v>
      </c>
      <c r="E239" s="2" t="s">
        <v>921</v>
      </c>
      <c r="F239" t="s">
        <v>13</v>
      </c>
      <c r="G239" t="s">
        <v>922</v>
      </c>
      <c r="H239">
        <v>0</v>
      </c>
      <c r="I239">
        <v>0</v>
      </c>
      <c r="J239">
        <v>0</v>
      </c>
    </row>
    <row r="240" spans="1:10" x14ac:dyDescent="0.35">
      <c r="A240" t="s">
        <v>923</v>
      </c>
      <c r="B240" s="1">
        <v>41217</v>
      </c>
      <c r="C240" t="s">
        <v>924</v>
      </c>
      <c r="D240">
        <v>5</v>
      </c>
      <c r="E240" t="s">
        <v>925</v>
      </c>
      <c r="F240" t="s">
        <v>13</v>
      </c>
      <c r="G240" t="s">
        <v>926</v>
      </c>
      <c r="H240">
        <v>0</v>
      </c>
      <c r="I240">
        <v>0</v>
      </c>
      <c r="J240">
        <v>0</v>
      </c>
    </row>
    <row r="241" spans="1:10" x14ac:dyDescent="0.35">
      <c r="A241" t="s">
        <v>927</v>
      </c>
      <c r="B241" s="1">
        <v>41004</v>
      </c>
      <c r="C241" t="e">
        <f>-ZjQLlmThaRU5hpgLfmH_Q</f>
        <v>#NAME?</v>
      </c>
      <c r="D241">
        <v>1</v>
      </c>
      <c r="E241" t="s">
        <v>928</v>
      </c>
      <c r="F241" t="s">
        <v>13</v>
      </c>
      <c r="G241" t="s">
        <v>929</v>
      </c>
      <c r="H241">
        <v>0</v>
      </c>
      <c r="I241">
        <v>0</v>
      </c>
      <c r="J241">
        <v>0</v>
      </c>
    </row>
    <row r="242" spans="1:10" x14ac:dyDescent="0.35">
      <c r="A242" t="s">
        <v>930</v>
      </c>
      <c r="B242" s="1">
        <v>40921</v>
      </c>
      <c r="C242" t="s">
        <v>931</v>
      </c>
      <c r="D242">
        <v>3</v>
      </c>
      <c r="E242" t="s">
        <v>932</v>
      </c>
      <c r="F242" t="s">
        <v>13</v>
      </c>
      <c r="G242" t="s">
        <v>933</v>
      </c>
      <c r="H242">
        <v>0</v>
      </c>
      <c r="I242">
        <v>0</v>
      </c>
      <c r="J242">
        <v>1</v>
      </c>
    </row>
    <row r="243" spans="1:10" x14ac:dyDescent="0.35">
      <c r="A243" t="s">
        <v>934</v>
      </c>
      <c r="B243" s="1">
        <v>41104</v>
      </c>
      <c r="C243" t="s">
        <v>935</v>
      </c>
      <c r="D243">
        <v>5</v>
      </c>
      <c r="E243" t="s">
        <v>936</v>
      </c>
      <c r="F243" t="s">
        <v>13</v>
      </c>
      <c r="G243" t="s">
        <v>937</v>
      </c>
      <c r="H243">
        <v>0</v>
      </c>
      <c r="I243">
        <v>2</v>
      </c>
      <c r="J243">
        <v>0</v>
      </c>
    </row>
    <row r="244" spans="1:10" x14ac:dyDescent="0.35">
      <c r="A244" t="s">
        <v>938</v>
      </c>
      <c r="B244" s="1">
        <v>41157</v>
      </c>
      <c r="C244" t="s">
        <v>939</v>
      </c>
      <c r="D244">
        <v>4</v>
      </c>
      <c r="E244" t="s">
        <v>940</v>
      </c>
      <c r="F244" t="s">
        <v>13</v>
      </c>
      <c r="G244" t="s">
        <v>941</v>
      </c>
      <c r="H244">
        <v>0</v>
      </c>
      <c r="I244">
        <v>0</v>
      </c>
      <c r="J244">
        <v>0</v>
      </c>
    </row>
    <row r="245" spans="1:10" x14ac:dyDescent="0.35">
      <c r="A245" t="s">
        <v>942</v>
      </c>
      <c r="B245" s="1">
        <v>40964</v>
      </c>
      <c r="C245" t="e">
        <f>-qbRKlaxLm0RBkdemva5Qg</f>
        <v>#NAME?</v>
      </c>
      <c r="D245">
        <v>2</v>
      </c>
      <c r="E245" t="s">
        <v>943</v>
      </c>
      <c r="F245" t="s">
        <v>13</v>
      </c>
      <c r="G245" t="s">
        <v>944</v>
      </c>
      <c r="H245">
        <v>0</v>
      </c>
      <c r="I245">
        <v>2</v>
      </c>
      <c r="J245">
        <v>1</v>
      </c>
    </row>
    <row r="246" spans="1:10" x14ac:dyDescent="0.35">
      <c r="A246" t="s">
        <v>945</v>
      </c>
      <c r="B246" s="1">
        <v>41192</v>
      </c>
      <c r="C246" t="s">
        <v>946</v>
      </c>
      <c r="D246">
        <v>5</v>
      </c>
      <c r="E246" t="s">
        <v>947</v>
      </c>
      <c r="F246" t="s">
        <v>13</v>
      </c>
      <c r="G246" t="s">
        <v>948</v>
      </c>
      <c r="H246">
        <v>0</v>
      </c>
      <c r="I246">
        <v>0</v>
      </c>
      <c r="J246">
        <v>0</v>
      </c>
    </row>
    <row r="247" spans="1:10" x14ac:dyDescent="0.35">
      <c r="A247" t="s">
        <v>949</v>
      </c>
      <c r="B247" s="1">
        <v>40517</v>
      </c>
      <c r="C247" t="s">
        <v>950</v>
      </c>
      <c r="D247">
        <v>4</v>
      </c>
      <c r="E247" s="2" t="s">
        <v>951</v>
      </c>
      <c r="F247" t="s">
        <v>13</v>
      </c>
      <c r="G247" t="s">
        <v>952</v>
      </c>
      <c r="H247">
        <v>0</v>
      </c>
      <c r="I247">
        <v>0</v>
      </c>
      <c r="J247">
        <v>0</v>
      </c>
    </row>
    <row r="248" spans="1:10" x14ac:dyDescent="0.35">
      <c r="A248" t="s">
        <v>953</v>
      </c>
      <c r="B248" s="1">
        <v>40356</v>
      </c>
      <c r="C248" t="e">
        <f>-E_VKAzXc1__o8-X20CCuQ</f>
        <v>#NAME?</v>
      </c>
      <c r="D248">
        <v>4</v>
      </c>
      <c r="E248" s="2" t="s">
        <v>954</v>
      </c>
      <c r="F248" t="s">
        <v>13</v>
      </c>
      <c r="G248" t="s">
        <v>955</v>
      </c>
      <c r="H248">
        <v>0</v>
      </c>
      <c r="I248">
        <v>0</v>
      </c>
      <c r="J248">
        <v>0</v>
      </c>
    </row>
    <row r="249" spans="1:10" x14ac:dyDescent="0.35">
      <c r="A249" t="s">
        <v>956</v>
      </c>
      <c r="B249" s="1">
        <v>41045</v>
      </c>
      <c r="C249" t="s">
        <v>957</v>
      </c>
      <c r="D249">
        <v>4</v>
      </c>
      <c r="E249" s="2" t="s">
        <v>958</v>
      </c>
      <c r="F249" t="s">
        <v>13</v>
      </c>
      <c r="G249" t="s">
        <v>959</v>
      </c>
      <c r="H249">
        <v>0</v>
      </c>
      <c r="I249">
        <v>2</v>
      </c>
      <c r="J249">
        <v>0</v>
      </c>
    </row>
    <row r="250" spans="1:10" x14ac:dyDescent="0.35">
      <c r="A250" t="s">
        <v>960</v>
      </c>
      <c r="B250" s="1">
        <v>40164</v>
      </c>
      <c r="C250" t="s">
        <v>961</v>
      </c>
      <c r="D250">
        <v>4</v>
      </c>
      <c r="E250" t="s">
        <v>962</v>
      </c>
      <c r="F250" t="s">
        <v>13</v>
      </c>
      <c r="G250" t="s">
        <v>963</v>
      </c>
      <c r="H250">
        <v>1</v>
      </c>
      <c r="I250">
        <v>0</v>
      </c>
      <c r="J250">
        <v>0</v>
      </c>
    </row>
    <row r="251" spans="1:10" x14ac:dyDescent="0.35">
      <c r="A251" t="s">
        <v>964</v>
      </c>
      <c r="B251" s="1">
        <v>40718</v>
      </c>
      <c r="C251" t="s">
        <v>965</v>
      </c>
      <c r="D251">
        <v>3</v>
      </c>
      <c r="E251" s="2" t="s">
        <v>966</v>
      </c>
      <c r="F251" t="s">
        <v>13</v>
      </c>
      <c r="G251" t="s">
        <v>967</v>
      </c>
      <c r="H251">
        <v>0</v>
      </c>
      <c r="I251">
        <v>0</v>
      </c>
      <c r="J251">
        <v>0</v>
      </c>
    </row>
    <row r="252" spans="1:10" x14ac:dyDescent="0.35">
      <c r="A252" t="s">
        <v>968</v>
      </c>
      <c r="B252" s="1">
        <v>41206</v>
      </c>
      <c r="C252" t="s">
        <v>969</v>
      </c>
      <c r="D252">
        <v>3</v>
      </c>
      <c r="E252" t="s">
        <v>970</v>
      </c>
      <c r="F252" t="s">
        <v>13</v>
      </c>
      <c r="G252" t="s">
        <v>971</v>
      </c>
      <c r="H252">
        <v>5</v>
      </c>
      <c r="I252">
        <v>6</v>
      </c>
      <c r="J252">
        <v>3</v>
      </c>
    </row>
    <row r="253" spans="1:10" x14ac:dyDescent="0.35">
      <c r="A253" t="s">
        <v>972</v>
      </c>
      <c r="B253" s="1">
        <v>40265</v>
      </c>
      <c r="C253" t="s">
        <v>973</v>
      </c>
      <c r="D253">
        <v>5</v>
      </c>
      <c r="E253" s="2" t="s">
        <v>974</v>
      </c>
      <c r="F253" t="s">
        <v>13</v>
      </c>
      <c r="G253" t="s">
        <v>975</v>
      </c>
      <c r="H253">
        <v>0</v>
      </c>
      <c r="I253">
        <v>1</v>
      </c>
      <c r="J253">
        <v>0</v>
      </c>
    </row>
    <row r="254" spans="1:10" x14ac:dyDescent="0.35">
      <c r="A254" t="s">
        <v>976</v>
      </c>
      <c r="B254" s="1">
        <v>40319</v>
      </c>
      <c r="C254" t="s">
        <v>977</v>
      </c>
      <c r="D254">
        <v>2</v>
      </c>
      <c r="E254" s="2" t="s">
        <v>978</v>
      </c>
      <c r="F254" t="s">
        <v>13</v>
      </c>
      <c r="G254" t="s">
        <v>979</v>
      </c>
      <c r="H254">
        <v>0</v>
      </c>
      <c r="I254">
        <v>0</v>
      </c>
      <c r="J254">
        <v>0</v>
      </c>
    </row>
    <row r="255" spans="1:10" x14ac:dyDescent="0.35">
      <c r="A255" t="s">
        <v>518</v>
      </c>
      <c r="B255" s="1">
        <v>40986</v>
      </c>
      <c r="C255" t="s">
        <v>980</v>
      </c>
      <c r="D255">
        <v>5</v>
      </c>
      <c r="E255" t="s">
        <v>981</v>
      </c>
      <c r="F255" t="s">
        <v>13</v>
      </c>
      <c r="G255" t="s">
        <v>767</v>
      </c>
      <c r="H255">
        <v>0</v>
      </c>
      <c r="I255">
        <v>0</v>
      </c>
      <c r="J255">
        <v>0</v>
      </c>
    </row>
    <row r="256" spans="1:10" x14ac:dyDescent="0.35">
      <c r="A256" t="s">
        <v>982</v>
      </c>
      <c r="B256" s="1">
        <v>41276</v>
      </c>
      <c r="C256" t="s">
        <v>983</v>
      </c>
      <c r="D256">
        <v>5</v>
      </c>
      <c r="E256" t="s">
        <v>984</v>
      </c>
      <c r="F256" t="s">
        <v>13</v>
      </c>
      <c r="G256" t="s">
        <v>985</v>
      </c>
      <c r="H256">
        <v>0</v>
      </c>
      <c r="I256">
        <v>0</v>
      </c>
      <c r="J256">
        <v>0</v>
      </c>
    </row>
    <row r="257" spans="1:10" x14ac:dyDescent="0.35">
      <c r="A257" t="s">
        <v>986</v>
      </c>
      <c r="B257" s="1">
        <v>40259</v>
      </c>
      <c r="C257" t="s">
        <v>987</v>
      </c>
      <c r="D257">
        <v>4</v>
      </c>
      <c r="E257" s="2" t="s">
        <v>988</v>
      </c>
      <c r="F257" t="s">
        <v>13</v>
      </c>
      <c r="G257" t="s">
        <v>989</v>
      </c>
      <c r="H257">
        <v>1</v>
      </c>
      <c r="I257">
        <v>2</v>
      </c>
      <c r="J257">
        <v>1</v>
      </c>
    </row>
    <row r="258" spans="1:10" x14ac:dyDescent="0.35">
      <c r="A258" t="s">
        <v>629</v>
      </c>
      <c r="B258" s="1">
        <v>40222</v>
      </c>
      <c r="C258" t="s">
        <v>990</v>
      </c>
      <c r="D258">
        <v>4</v>
      </c>
      <c r="E258" s="2" t="s">
        <v>991</v>
      </c>
      <c r="F258" t="s">
        <v>13</v>
      </c>
      <c r="G258" t="s">
        <v>255</v>
      </c>
      <c r="H258">
        <v>2</v>
      </c>
      <c r="I258">
        <v>2</v>
      </c>
      <c r="J258">
        <v>2</v>
      </c>
    </row>
    <row r="259" spans="1:10" x14ac:dyDescent="0.35">
      <c r="A259" t="s">
        <v>992</v>
      </c>
      <c r="B259" s="1">
        <v>39932</v>
      </c>
      <c r="C259" t="s">
        <v>993</v>
      </c>
      <c r="D259">
        <v>2</v>
      </c>
      <c r="E259" s="2" t="s">
        <v>994</v>
      </c>
      <c r="F259" t="s">
        <v>13</v>
      </c>
      <c r="G259" t="s">
        <v>995</v>
      </c>
      <c r="H259">
        <v>1</v>
      </c>
      <c r="I259">
        <v>1</v>
      </c>
      <c r="J259">
        <v>0</v>
      </c>
    </row>
    <row r="260" spans="1:10" x14ac:dyDescent="0.35">
      <c r="A260" t="s">
        <v>815</v>
      </c>
      <c r="B260" s="1">
        <v>41008</v>
      </c>
      <c r="C260" t="s">
        <v>996</v>
      </c>
      <c r="D260">
        <v>5</v>
      </c>
      <c r="E260" t="s">
        <v>997</v>
      </c>
      <c r="F260" t="s">
        <v>13</v>
      </c>
      <c r="G260" t="s">
        <v>998</v>
      </c>
      <c r="H260">
        <v>0</v>
      </c>
      <c r="I260">
        <v>0</v>
      </c>
      <c r="J260">
        <v>0</v>
      </c>
    </row>
    <row r="261" spans="1:10" x14ac:dyDescent="0.35">
      <c r="A261" t="s">
        <v>999</v>
      </c>
      <c r="B261" s="1">
        <v>40764</v>
      </c>
      <c r="C261" t="s">
        <v>1000</v>
      </c>
      <c r="D261">
        <v>5</v>
      </c>
      <c r="E261" t="s">
        <v>1001</v>
      </c>
      <c r="F261" t="s">
        <v>13</v>
      </c>
      <c r="G261" t="s">
        <v>1002</v>
      </c>
      <c r="H261">
        <v>1</v>
      </c>
      <c r="I261">
        <v>1</v>
      </c>
      <c r="J261">
        <v>0</v>
      </c>
    </row>
    <row r="262" spans="1:10" x14ac:dyDescent="0.35">
      <c r="A262" t="s">
        <v>341</v>
      </c>
      <c r="B262" s="1">
        <v>40549</v>
      </c>
      <c r="C262" t="s">
        <v>1003</v>
      </c>
      <c r="D262">
        <v>5</v>
      </c>
      <c r="E262" t="s">
        <v>1004</v>
      </c>
      <c r="F262" t="s">
        <v>13</v>
      </c>
      <c r="G262" t="s">
        <v>1005</v>
      </c>
      <c r="H262">
        <v>0</v>
      </c>
      <c r="I262">
        <v>0</v>
      </c>
      <c r="J262">
        <v>0</v>
      </c>
    </row>
    <row r="263" spans="1:10" x14ac:dyDescent="0.35">
      <c r="A263" t="s">
        <v>1006</v>
      </c>
      <c r="B263" s="1">
        <v>39818</v>
      </c>
      <c r="C263" t="s">
        <v>1007</v>
      </c>
      <c r="D263">
        <v>4</v>
      </c>
      <c r="E263" s="2" t="s">
        <v>1008</v>
      </c>
      <c r="F263" t="s">
        <v>13</v>
      </c>
      <c r="G263" t="s">
        <v>1009</v>
      </c>
      <c r="H263">
        <v>2</v>
      </c>
      <c r="I263">
        <v>3</v>
      </c>
      <c r="J263">
        <v>0</v>
      </c>
    </row>
    <row r="264" spans="1:10" x14ac:dyDescent="0.35">
      <c r="A264" t="s">
        <v>400</v>
      </c>
      <c r="B264" s="1">
        <v>39868</v>
      </c>
      <c r="C264" t="s">
        <v>1010</v>
      </c>
      <c r="D264">
        <v>5</v>
      </c>
      <c r="E264" s="2" t="s">
        <v>1011</v>
      </c>
      <c r="F264" t="s">
        <v>13</v>
      </c>
      <c r="G264" t="s">
        <v>1012</v>
      </c>
      <c r="H264">
        <v>4</v>
      </c>
      <c r="I264">
        <v>4</v>
      </c>
      <c r="J264">
        <v>5</v>
      </c>
    </row>
    <row r="265" spans="1:10" x14ac:dyDescent="0.35">
      <c r="A265" t="s">
        <v>1013</v>
      </c>
      <c r="B265" s="1">
        <v>40888</v>
      </c>
      <c r="C265" t="s">
        <v>1014</v>
      </c>
      <c r="D265">
        <v>4</v>
      </c>
      <c r="E265" t="s">
        <v>1015</v>
      </c>
      <c r="F265" t="s">
        <v>13</v>
      </c>
      <c r="G265" t="s">
        <v>1016</v>
      </c>
      <c r="H265">
        <v>0</v>
      </c>
      <c r="I265">
        <v>0</v>
      </c>
      <c r="J265">
        <v>0</v>
      </c>
    </row>
    <row r="266" spans="1:10" x14ac:dyDescent="0.35">
      <c r="A266" t="s">
        <v>1017</v>
      </c>
      <c r="B266" s="1">
        <v>41193</v>
      </c>
      <c r="C266" t="s">
        <v>1018</v>
      </c>
      <c r="D266">
        <v>5</v>
      </c>
      <c r="E266" t="s">
        <v>1019</v>
      </c>
      <c r="F266" t="s">
        <v>13</v>
      </c>
      <c r="G266" t="s">
        <v>1020</v>
      </c>
      <c r="H266">
        <v>0</v>
      </c>
      <c r="I266">
        <v>0</v>
      </c>
      <c r="J266">
        <v>0</v>
      </c>
    </row>
    <row r="267" spans="1:10" x14ac:dyDescent="0.35">
      <c r="A267" t="s">
        <v>1021</v>
      </c>
      <c r="B267" s="1">
        <v>40606</v>
      </c>
      <c r="C267" t="s">
        <v>1022</v>
      </c>
      <c r="D267">
        <v>4</v>
      </c>
      <c r="E267" t="s">
        <v>1023</v>
      </c>
      <c r="F267" t="s">
        <v>13</v>
      </c>
      <c r="G267" t="s">
        <v>1024</v>
      </c>
      <c r="H267">
        <v>0</v>
      </c>
      <c r="I267">
        <v>1</v>
      </c>
      <c r="J267">
        <v>0</v>
      </c>
    </row>
    <row r="268" spans="1:10" x14ac:dyDescent="0.35">
      <c r="A268" t="s">
        <v>1025</v>
      </c>
      <c r="B268" s="1">
        <v>40980</v>
      </c>
      <c r="C268" t="s">
        <v>1026</v>
      </c>
      <c r="D268">
        <v>5</v>
      </c>
      <c r="E268" t="s">
        <v>1027</v>
      </c>
      <c r="F268" t="s">
        <v>13</v>
      </c>
      <c r="G268" t="s">
        <v>1028</v>
      </c>
      <c r="H268">
        <v>0</v>
      </c>
      <c r="I268">
        <v>0</v>
      </c>
      <c r="J268">
        <v>0</v>
      </c>
    </row>
    <row r="269" spans="1:10" x14ac:dyDescent="0.35">
      <c r="A269" t="s">
        <v>1029</v>
      </c>
      <c r="B269" s="1">
        <v>41278</v>
      </c>
      <c r="C269" t="s">
        <v>1030</v>
      </c>
      <c r="D269">
        <v>3</v>
      </c>
      <c r="E269" t="s">
        <v>1031</v>
      </c>
      <c r="F269" t="s">
        <v>13</v>
      </c>
      <c r="G269" t="s">
        <v>1032</v>
      </c>
      <c r="H269">
        <v>0</v>
      </c>
      <c r="I269">
        <v>0</v>
      </c>
      <c r="J269">
        <v>0</v>
      </c>
    </row>
    <row r="270" spans="1:10" x14ac:dyDescent="0.35">
      <c r="A270" t="s">
        <v>1033</v>
      </c>
      <c r="B270" s="1">
        <v>40715</v>
      </c>
      <c r="C270" t="s">
        <v>1034</v>
      </c>
      <c r="D270">
        <v>3</v>
      </c>
      <c r="E270" t="s">
        <v>1035</v>
      </c>
      <c r="F270" t="s">
        <v>13</v>
      </c>
      <c r="G270" t="s">
        <v>1036</v>
      </c>
      <c r="H270">
        <v>0</v>
      </c>
      <c r="I270">
        <v>1</v>
      </c>
      <c r="J270">
        <v>0</v>
      </c>
    </row>
    <row r="271" spans="1:10" x14ac:dyDescent="0.35">
      <c r="A271" t="s">
        <v>1037</v>
      </c>
      <c r="B271" s="1">
        <v>40574</v>
      </c>
      <c r="C271" t="s">
        <v>1038</v>
      </c>
      <c r="D271">
        <v>4</v>
      </c>
      <c r="E271" s="2" t="s">
        <v>1039</v>
      </c>
      <c r="F271" t="s">
        <v>13</v>
      </c>
      <c r="G271" t="s">
        <v>757</v>
      </c>
      <c r="H271">
        <v>0</v>
      </c>
      <c r="I271">
        <v>2</v>
      </c>
      <c r="J271">
        <v>0</v>
      </c>
    </row>
    <row r="272" spans="1:10" x14ac:dyDescent="0.35">
      <c r="A272" t="s">
        <v>1040</v>
      </c>
      <c r="B272" s="1">
        <v>40473</v>
      </c>
      <c r="C272" t="s">
        <v>1041</v>
      </c>
      <c r="D272">
        <v>5</v>
      </c>
      <c r="E272" t="s">
        <v>1042</v>
      </c>
      <c r="F272" t="s">
        <v>13</v>
      </c>
      <c r="G272" t="s">
        <v>1043</v>
      </c>
      <c r="H272">
        <v>0</v>
      </c>
      <c r="I272">
        <v>2</v>
      </c>
      <c r="J272">
        <v>0</v>
      </c>
    </row>
    <row r="273" spans="1:10" x14ac:dyDescent="0.35">
      <c r="A273" t="s">
        <v>1044</v>
      </c>
      <c r="B273" s="1">
        <v>39429</v>
      </c>
      <c r="C273" t="s">
        <v>1045</v>
      </c>
      <c r="D273">
        <v>4</v>
      </c>
      <c r="E273" s="2" t="s">
        <v>1046</v>
      </c>
      <c r="F273" t="s">
        <v>13</v>
      </c>
      <c r="G273" t="s">
        <v>1047</v>
      </c>
      <c r="H273">
        <v>2</v>
      </c>
      <c r="I273">
        <v>2</v>
      </c>
      <c r="J273">
        <v>2</v>
      </c>
    </row>
    <row r="274" spans="1:10" x14ac:dyDescent="0.35">
      <c r="A274" t="s">
        <v>1048</v>
      </c>
      <c r="B274" s="1">
        <v>40568</v>
      </c>
      <c r="C274" t="s">
        <v>1049</v>
      </c>
      <c r="D274">
        <v>4</v>
      </c>
      <c r="E274" t="s">
        <v>1050</v>
      </c>
      <c r="F274" t="s">
        <v>13</v>
      </c>
      <c r="G274" t="s">
        <v>1051</v>
      </c>
      <c r="H274">
        <v>0</v>
      </c>
      <c r="I274">
        <v>0</v>
      </c>
      <c r="J274">
        <v>0</v>
      </c>
    </row>
    <row r="275" spans="1:10" x14ac:dyDescent="0.35">
      <c r="A275" t="s">
        <v>493</v>
      </c>
      <c r="B275" s="1">
        <v>39488</v>
      </c>
      <c r="C275" t="s">
        <v>1052</v>
      </c>
      <c r="D275">
        <v>3</v>
      </c>
      <c r="E275" s="2" t="s">
        <v>1053</v>
      </c>
      <c r="F275" t="s">
        <v>13</v>
      </c>
      <c r="G275" t="s">
        <v>1054</v>
      </c>
      <c r="H275">
        <v>3</v>
      </c>
      <c r="I275">
        <v>3</v>
      </c>
      <c r="J275">
        <v>2</v>
      </c>
    </row>
    <row r="276" spans="1:10" x14ac:dyDescent="0.35">
      <c r="A276" t="s">
        <v>1055</v>
      </c>
      <c r="B276" s="1">
        <v>40600</v>
      </c>
      <c r="C276" t="s">
        <v>1056</v>
      </c>
      <c r="D276">
        <v>4</v>
      </c>
      <c r="E276" s="2" t="s">
        <v>1057</v>
      </c>
      <c r="F276" t="s">
        <v>13</v>
      </c>
      <c r="G276" t="s">
        <v>1058</v>
      </c>
      <c r="H276">
        <v>1</v>
      </c>
      <c r="I276">
        <v>2</v>
      </c>
      <c r="J276">
        <v>1</v>
      </c>
    </row>
    <row r="277" spans="1:10" x14ac:dyDescent="0.35">
      <c r="A277" t="s">
        <v>1059</v>
      </c>
      <c r="B277" s="1">
        <v>40719</v>
      </c>
      <c r="C277" t="s">
        <v>1060</v>
      </c>
      <c r="D277">
        <v>3</v>
      </c>
      <c r="E277" s="2" t="s">
        <v>1061</v>
      </c>
      <c r="F277" t="s">
        <v>13</v>
      </c>
      <c r="G277" t="s">
        <v>1062</v>
      </c>
      <c r="H277">
        <v>0</v>
      </c>
      <c r="I277">
        <v>2</v>
      </c>
      <c r="J277">
        <v>0</v>
      </c>
    </row>
    <row r="278" spans="1:10" x14ac:dyDescent="0.35">
      <c r="A278" t="s">
        <v>1063</v>
      </c>
      <c r="B278" s="1">
        <v>40384</v>
      </c>
      <c r="C278" t="s">
        <v>1064</v>
      </c>
      <c r="D278">
        <v>5</v>
      </c>
      <c r="E278" s="2" t="s">
        <v>1065</v>
      </c>
      <c r="F278" t="s">
        <v>13</v>
      </c>
      <c r="G278" t="s">
        <v>1066</v>
      </c>
      <c r="H278">
        <v>0</v>
      </c>
      <c r="I278">
        <v>2</v>
      </c>
      <c r="J278">
        <v>0</v>
      </c>
    </row>
    <row r="279" spans="1:10" x14ac:dyDescent="0.35">
      <c r="A279" t="s">
        <v>728</v>
      </c>
      <c r="B279" s="1">
        <v>40133</v>
      </c>
      <c r="C279" t="s">
        <v>1067</v>
      </c>
      <c r="D279">
        <v>4</v>
      </c>
      <c r="E279" s="2" t="s">
        <v>1068</v>
      </c>
      <c r="F279" t="s">
        <v>13</v>
      </c>
      <c r="G279" t="s">
        <v>1069</v>
      </c>
      <c r="H279">
        <v>0</v>
      </c>
      <c r="I279">
        <v>0</v>
      </c>
      <c r="J279">
        <v>0</v>
      </c>
    </row>
    <row r="280" spans="1:10" x14ac:dyDescent="0.35">
      <c r="A280" t="s">
        <v>1070</v>
      </c>
      <c r="B280" s="1">
        <v>40377</v>
      </c>
      <c r="C280" t="s">
        <v>1071</v>
      </c>
      <c r="D280">
        <v>5</v>
      </c>
      <c r="E280" t="s">
        <v>1072</v>
      </c>
      <c r="F280" t="s">
        <v>13</v>
      </c>
      <c r="G280" t="s">
        <v>1073</v>
      </c>
      <c r="H280">
        <v>0</v>
      </c>
      <c r="I280">
        <v>0</v>
      </c>
      <c r="J280">
        <v>0</v>
      </c>
    </row>
    <row r="281" spans="1:10" x14ac:dyDescent="0.35">
      <c r="A281" t="s">
        <v>1074</v>
      </c>
      <c r="B281" s="1">
        <v>41253</v>
      </c>
      <c r="C281" t="s">
        <v>1075</v>
      </c>
      <c r="D281">
        <v>5</v>
      </c>
      <c r="E281" s="2" t="s">
        <v>1076</v>
      </c>
      <c r="F281" t="s">
        <v>13</v>
      </c>
      <c r="G281" t="s">
        <v>1077</v>
      </c>
      <c r="H281">
        <v>2</v>
      </c>
      <c r="I281">
        <v>2</v>
      </c>
      <c r="J281">
        <v>1</v>
      </c>
    </row>
    <row r="282" spans="1:10" x14ac:dyDescent="0.35">
      <c r="A282" t="s">
        <v>1078</v>
      </c>
      <c r="B282" s="1">
        <v>40964</v>
      </c>
      <c r="C282" t="s">
        <v>1079</v>
      </c>
      <c r="D282">
        <v>3</v>
      </c>
      <c r="E282" t="s">
        <v>1080</v>
      </c>
      <c r="F282" t="s">
        <v>13</v>
      </c>
      <c r="G282" t="s">
        <v>1081</v>
      </c>
      <c r="H282">
        <v>0</v>
      </c>
      <c r="I282">
        <v>0</v>
      </c>
      <c r="J282">
        <v>1</v>
      </c>
    </row>
    <row r="283" spans="1:10" x14ac:dyDescent="0.35">
      <c r="A283" t="s">
        <v>1082</v>
      </c>
      <c r="B283" s="1">
        <v>40756</v>
      </c>
      <c r="C283" t="s">
        <v>1083</v>
      </c>
      <c r="D283">
        <v>1</v>
      </c>
      <c r="E283" s="2" t="s">
        <v>1084</v>
      </c>
      <c r="F283" t="s">
        <v>13</v>
      </c>
      <c r="G283" t="s">
        <v>1085</v>
      </c>
      <c r="H283">
        <v>0</v>
      </c>
      <c r="I283">
        <v>0</v>
      </c>
      <c r="J283">
        <v>0</v>
      </c>
    </row>
    <row r="284" spans="1:10" x14ac:dyDescent="0.35">
      <c r="A284" t="s">
        <v>526</v>
      </c>
      <c r="B284" s="1">
        <v>40540</v>
      </c>
      <c r="C284" t="s">
        <v>1086</v>
      </c>
      <c r="D284">
        <v>3</v>
      </c>
      <c r="E284" s="2" t="s">
        <v>1087</v>
      </c>
      <c r="F284" t="s">
        <v>13</v>
      </c>
      <c r="G284" t="s">
        <v>1088</v>
      </c>
      <c r="H284">
        <v>1</v>
      </c>
      <c r="I284">
        <v>1</v>
      </c>
      <c r="J284">
        <v>0</v>
      </c>
    </row>
    <row r="285" spans="1:10" x14ac:dyDescent="0.35">
      <c r="A285" t="s">
        <v>1089</v>
      </c>
      <c r="B285" s="1">
        <v>40752</v>
      </c>
      <c r="C285" t="s">
        <v>1090</v>
      </c>
      <c r="D285">
        <v>2</v>
      </c>
      <c r="E285" t="s">
        <v>1091</v>
      </c>
      <c r="F285" t="s">
        <v>13</v>
      </c>
      <c r="G285" t="s">
        <v>1092</v>
      </c>
      <c r="H285">
        <v>1</v>
      </c>
      <c r="I285">
        <v>1</v>
      </c>
      <c r="J285">
        <v>1</v>
      </c>
    </row>
    <row r="286" spans="1:10" x14ac:dyDescent="0.35">
      <c r="A286" t="s">
        <v>1093</v>
      </c>
      <c r="B286" s="1">
        <v>41207</v>
      </c>
      <c r="C286" t="s">
        <v>1094</v>
      </c>
      <c r="D286">
        <v>5</v>
      </c>
      <c r="E286" t="s">
        <v>1095</v>
      </c>
      <c r="F286" t="s">
        <v>13</v>
      </c>
      <c r="G286" t="s">
        <v>1096</v>
      </c>
      <c r="H286">
        <v>0</v>
      </c>
      <c r="I286">
        <v>0</v>
      </c>
      <c r="J286">
        <v>1</v>
      </c>
    </row>
    <row r="287" spans="1:10" x14ac:dyDescent="0.35">
      <c r="A287" t="s">
        <v>1097</v>
      </c>
      <c r="B287" s="1">
        <v>41054</v>
      </c>
      <c r="C287" t="s">
        <v>1098</v>
      </c>
      <c r="D287">
        <v>5</v>
      </c>
      <c r="E287" t="s">
        <v>1099</v>
      </c>
      <c r="F287" t="s">
        <v>13</v>
      </c>
      <c r="G287" t="s">
        <v>1100</v>
      </c>
      <c r="H287">
        <v>1</v>
      </c>
      <c r="I287">
        <v>0</v>
      </c>
      <c r="J287">
        <v>0</v>
      </c>
    </row>
    <row r="288" spans="1:10" x14ac:dyDescent="0.35">
      <c r="A288" t="s">
        <v>1101</v>
      </c>
      <c r="B288" s="1">
        <v>40485</v>
      </c>
      <c r="C288" t="s">
        <v>1102</v>
      </c>
      <c r="D288">
        <v>3</v>
      </c>
      <c r="E288" s="2" t="s">
        <v>1103</v>
      </c>
      <c r="F288" t="s">
        <v>13</v>
      </c>
      <c r="G288" t="s">
        <v>1104</v>
      </c>
      <c r="H288">
        <v>0</v>
      </c>
      <c r="I288">
        <v>0</v>
      </c>
      <c r="J288">
        <v>0</v>
      </c>
    </row>
    <row r="289" spans="1:10" x14ac:dyDescent="0.35">
      <c r="A289" t="s">
        <v>1105</v>
      </c>
      <c r="B289" s="1">
        <v>41147</v>
      </c>
      <c r="C289" t="s">
        <v>1106</v>
      </c>
      <c r="D289">
        <v>1</v>
      </c>
      <c r="E289" t="s">
        <v>1107</v>
      </c>
      <c r="F289" t="s">
        <v>13</v>
      </c>
      <c r="G289" t="s">
        <v>1108</v>
      </c>
      <c r="H289">
        <v>0</v>
      </c>
      <c r="I289">
        <v>0</v>
      </c>
      <c r="J289">
        <v>0</v>
      </c>
    </row>
    <row r="290" spans="1:10" x14ac:dyDescent="0.35">
      <c r="A290" t="s">
        <v>1109</v>
      </c>
      <c r="B290" s="1">
        <v>39262</v>
      </c>
      <c r="C290" t="s">
        <v>1110</v>
      </c>
      <c r="D290">
        <v>3</v>
      </c>
      <c r="E290" s="2" t="s">
        <v>1111</v>
      </c>
      <c r="F290" t="s">
        <v>13</v>
      </c>
      <c r="G290" t="s">
        <v>1112</v>
      </c>
      <c r="H290">
        <v>1</v>
      </c>
      <c r="I290">
        <v>3</v>
      </c>
      <c r="J290">
        <v>0</v>
      </c>
    </row>
    <row r="291" spans="1:10" x14ac:dyDescent="0.35">
      <c r="A291" t="s">
        <v>1113</v>
      </c>
      <c r="B291" s="1">
        <v>40411</v>
      </c>
      <c r="C291" t="s">
        <v>1114</v>
      </c>
      <c r="D291">
        <v>1</v>
      </c>
      <c r="E291" s="2" t="s">
        <v>1115</v>
      </c>
      <c r="F291" t="s">
        <v>13</v>
      </c>
      <c r="G291" t="s">
        <v>1116</v>
      </c>
      <c r="H291">
        <v>0</v>
      </c>
      <c r="I291">
        <v>0</v>
      </c>
      <c r="J291">
        <v>0</v>
      </c>
    </row>
    <row r="292" spans="1:10" x14ac:dyDescent="0.35">
      <c r="A292" t="s">
        <v>1117</v>
      </c>
      <c r="B292" s="1">
        <v>39643</v>
      </c>
      <c r="C292" t="s">
        <v>1118</v>
      </c>
      <c r="D292">
        <v>3</v>
      </c>
      <c r="E292" t="s">
        <v>1119</v>
      </c>
      <c r="F292" t="s">
        <v>13</v>
      </c>
      <c r="G292" t="s">
        <v>1120</v>
      </c>
      <c r="H292">
        <v>0</v>
      </c>
      <c r="I292">
        <v>0</v>
      </c>
      <c r="J292">
        <v>0</v>
      </c>
    </row>
    <row r="293" spans="1:10" x14ac:dyDescent="0.35">
      <c r="A293" t="s">
        <v>1121</v>
      </c>
      <c r="B293" s="1">
        <v>39817</v>
      </c>
      <c r="C293" t="s">
        <v>1122</v>
      </c>
      <c r="D293">
        <v>2</v>
      </c>
      <c r="E293" s="2" t="s">
        <v>1123</v>
      </c>
      <c r="F293" t="s">
        <v>13</v>
      </c>
      <c r="G293" t="s">
        <v>1124</v>
      </c>
      <c r="H293">
        <v>0</v>
      </c>
      <c r="I293">
        <v>2</v>
      </c>
      <c r="J293">
        <v>0</v>
      </c>
    </row>
    <row r="294" spans="1:10" x14ac:dyDescent="0.35">
      <c r="A294" t="s">
        <v>1125</v>
      </c>
      <c r="B294" s="1">
        <v>41272</v>
      </c>
      <c r="C294" t="s">
        <v>1126</v>
      </c>
      <c r="D294">
        <v>1</v>
      </c>
      <c r="E294" t="s">
        <v>1127</v>
      </c>
      <c r="F294" t="s">
        <v>13</v>
      </c>
      <c r="G294" t="s">
        <v>1128</v>
      </c>
      <c r="H294">
        <v>0</v>
      </c>
      <c r="I294">
        <v>0</v>
      </c>
      <c r="J294">
        <v>0</v>
      </c>
    </row>
    <row r="295" spans="1:10" x14ac:dyDescent="0.35">
      <c r="A295" t="e">
        <f>-bd26a1QEEpqUZjBmtBUiQ</f>
        <v>#NAME?</v>
      </c>
      <c r="B295" s="1">
        <v>40276</v>
      </c>
      <c r="C295" t="s">
        <v>1129</v>
      </c>
      <c r="D295">
        <v>5</v>
      </c>
      <c r="E295" t="s">
        <v>1130</v>
      </c>
      <c r="F295" t="s">
        <v>13</v>
      </c>
      <c r="G295" t="s">
        <v>1131</v>
      </c>
      <c r="H295">
        <v>0</v>
      </c>
      <c r="I295">
        <v>0</v>
      </c>
      <c r="J295">
        <v>0</v>
      </c>
    </row>
    <row r="296" spans="1:10" x14ac:dyDescent="0.35">
      <c r="A296" t="s">
        <v>1132</v>
      </c>
      <c r="B296" s="1">
        <v>40548</v>
      </c>
      <c r="C296" t="s">
        <v>1133</v>
      </c>
      <c r="D296">
        <v>4</v>
      </c>
      <c r="E296" s="2" t="s">
        <v>1134</v>
      </c>
      <c r="F296" t="s">
        <v>13</v>
      </c>
      <c r="G296" t="s">
        <v>1135</v>
      </c>
      <c r="H296">
        <v>3</v>
      </c>
      <c r="I296">
        <v>5</v>
      </c>
      <c r="J296">
        <v>2</v>
      </c>
    </row>
    <row r="297" spans="1:10" x14ac:dyDescent="0.35">
      <c r="A297" t="s">
        <v>1136</v>
      </c>
      <c r="B297" s="1">
        <v>40638</v>
      </c>
      <c r="C297" t="s">
        <v>1137</v>
      </c>
      <c r="D297">
        <v>5</v>
      </c>
      <c r="E297" s="2" t="s">
        <v>1138</v>
      </c>
      <c r="F297" t="s">
        <v>13</v>
      </c>
      <c r="G297" t="s">
        <v>1139</v>
      </c>
      <c r="H297">
        <v>0</v>
      </c>
      <c r="I297">
        <v>1</v>
      </c>
      <c r="J297">
        <v>0</v>
      </c>
    </row>
    <row r="298" spans="1:10" x14ac:dyDescent="0.35">
      <c r="A298" t="s">
        <v>1140</v>
      </c>
      <c r="B298" s="1">
        <v>40544</v>
      </c>
      <c r="C298" t="s">
        <v>1141</v>
      </c>
      <c r="D298">
        <v>4</v>
      </c>
      <c r="E298" s="2" t="s">
        <v>1142</v>
      </c>
      <c r="F298" t="s">
        <v>13</v>
      </c>
      <c r="G298" t="s">
        <v>1143</v>
      </c>
      <c r="H298">
        <v>2</v>
      </c>
      <c r="I298">
        <v>1</v>
      </c>
      <c r="J298">
        <v>0</v>
      </c>
    </row>
    <row r="299" spans="1:10" x14ac:dyDescent="0.35">
      <c r="A299" t="s">
        <v>1144</v>
      </c>
      <c r="B299" s="1">
        <v>40273</v>
      </c>
      <c r="C299" t="s">
        <v>1145</v>
      </c>
      <c r="D299">
        <v>4</v>
      </c>
      <c r="E299" s="2" t="s">
        <v>1146</v>
      </c>
      <c r="F299" t="s">
        <v>13</v>
      </c>
      <c r="G299" t="s">
        <v>1147</v>
      </c>
      <c r="H299">
        <v>0</v>
      </c>
      <c r="I299">
        <v>0</v>
      </c>
      <c r="J299">
        <v>0</v>
      </c>
    </row>
    <row r="300" spans="1:10" x14ac:dyDescent="0.35">
      <c r="A300" t="s">
        <v>1148</v>
      </c>
      <c r="B300" s="1">
        <v>40252</v>
      </c>
      <c r="C300" t="s">
        <v>1149</v>
      </c>
      <c r="D300">
        <v>5</v>
      </c>
      <c r="E300" s="2" t="s">
        <v>1150</v>
      </c>
      <c r="F300" t="s">
        <v>13</v>
      </c>
      <c r="G300" t="s">
        <v>1151</v>
      </c>
      <c r="H300">
        <v>0</v>
      </c>
      <c r="I300">
        <v>0</v>
      </c>
      <c r="J300">
        <v>0</v>
      </c>
    </row>
    <row r="301" spans="1:10" x14ac:dyDescent="0.35">
      <c r="B301" s="1"/>
      <c r="E301" s="2"/>
    </row>
    <row r="302" spans="1:10" x14ac:dyDescent="0.35">
      <c r="B302" s="1"/>
      <c r="E302" s="2"/>
    </row>
    <row r="303" spans="1:10" x14ac:dyDescent="0.35">
      <c r="B303" s="1"/>
      <c r="E303" s="2"/>
    </row>
    <row r="304" spans="1:10" x14ac:dyDescent="0.35">
      <c r="B304" s="1"/>
      <c r="E304" s="2"/>
    </row>
    <row r="305" spans="2:5" x14ac:dyDescent="0.35">
      <c r="B305" s="1"/>
    </row>
    <row r="306" spans="2:5" x14ac:dyDescent="0.35">
      <c r="B306" s="1"/>
      <c r="E306" s="2"/>
    </row>
    <row r="307" spans="2:5" x14ac:dyDescent="0.35">
      <c r="B307" s="1"/>
      <c r="E307" s="2"/>
    </row>
    <row r="308" spans="2:5" x14ac:dyDescent="0.35">
      <c r="B308" s="1"/>
    </row>
    <row r="309" spans="2:5" x14ac:dyDescent="0.35">
      <c r="B309" s="1"/>
    </row>
    <row r="310" spans="2:5" x14ac:dyDescent="0.35">
      <c r="B310" s="1"/>
    </row>
    <row r="311" spans="2:5" x14ac:dyDescent="0.35">
      <c r="B311" s="1"/>
      <c r="E311" s="2"/>
    </row>
    <row r="312" spans="2:5" x14ac:dyDescent="0.35">
      <c r="B312" s="1"/>
      <c r="E312" s="2"/>
    </row>
    <row r="313" spans="2:5" x14ac:dyDescent="0.35">
      <c r="B313" s="1"/>
      <c r="E313" s="2"/>
    </row>
    <row r="314" spans="2:5" x14ac:dyDescent="0.35">
      <c r="B314" s="1"/>
      <c r="E314" s="2"/>
    </row>
    <row r="315" spans="2:5" x14ac:dyDescent="0.35">
      <c r="B315" s="1"/>
    </row>
    <row r="316" spans="2:5" x14ac:dyDescent="0.35">
      <c r="B316" s="1"/>
      <c r="E316" s="2"/>
    </row>
    <row r="317" spans="2:5" x14ac:dyDescent="0.35">
      <c r="B317" s="1"/>
    </row>
    <row r="318" spans="2:5" x14ac:dyDescent="0.35">
      <c r="B318" s="1"/>
      <c r="E318" s="2"/>
    </row>
    <row r="319" spans="2:5" x14ac:dyDescent="0.35">
      <c r="B319" s="1"/>
      <c r="E319" s="2"/>
    </row>
    <row r="320" spans="2:5" x14ac:dyDescent="0.35">
      <c r="B320" s="1"/>
      <c r="E320" s="2"/>
    </row>
    <row r="321" spans="2:5" x14ac:dyDescent="0.35">
      <c r="B321" s="1"/>
    </row>
    <row r="322" spans="2:5" x14ac:dyDescent="0.35">
      <c r="B322" s="1"/>
    </row>
    <row r="323" spans="2:5" x14ac:dyDescent="0.35">
      <c r="B323" s="1"/>
    </row>
    <row r="324" spans="2:5" x14ac:dyDescent="0.35">
      <c r="B324" s="1"/>
      <c r="E324" s="2"/>
    </row>
    <row r="325" spans="2:5" x14ac:dyDescent="0.35">
      <c r="B325" s="1"/>
      <c r="E325" s="2"/>
    </row>
    <row r="326" spans="2:5" x14ac:dyDescent="0.35">
      <c r="B326" s="1"/>
      <c r="E326" s="2"/>
    </row>
    <row r="327" spans="2:5" x14ac:dyDescent="0.35">
      <c r="B327" s="1"/>
    </row>
    <row r="328" spans="2:5" x14ac:dyDescent="0.35">
      <c r="B328" s="1"/>
      <c r="E328" s="2"/>
    </row>
    <row r="329" spans="2:5" x14ac:dyDescent="0.35">
      <c r="B329" s="1"/>
      <c r="E329" s="2"/>
    </row>
    <row r="330" spans="2:5" x14ac:dyDescent="0.35">
      <c r="B330" s="1"/>
      <c r="E330" s="2"/>
    </row>
    <row r="331" spans="2:5" x14ac:dyDescent="0.35">
      <c r="B331" s="1"/>
      <c r="E331" s="2"/>
    </row>
    <row r="332" spans="2:5" x14ac:dyDescent="0.35">
      <c r="B332" s="1"/>
    </row>
    <row r="333" spans="2:5" x14ac:dyDescent="0.35">
      <c r="B333" s="1"/>
      <c r="E333" s="2"/>
    </row>
    <row r="334" spans="2:5" x14ac:dyDescent="0.35">
      <c r="B334" s="1"/>
      <c r="E334" s="2"/>
    </row>
    <row r="335" spans="2:5" x14ac:dyDescent="0.35">
      <c r="B335" s="1"/>
      <c r="E335" s="2"/>
    </row>
    <row r="336" spans="2:5" x14ac:dyDescent="0.35">
      <c r="B336" s="1"/>
    </row>
    <row r="337" spans="2:5" x14ac:dyDescent="0.35">
      <c r="B337" s="1"/>
      <c r="E337" s="2"/>
    </row>
    <row r="338" spans="2:5" x14ac:dyDescent="0.35">
      <c r="B338" s="1"/>
      <c r="E338" s="2"/>
    </row>
    <row r="339" spans="2:5" x14ac:dyDescent="0.35">
      <c r="B339" s="1"/>
      <c r="E339" s="2"/>
    </row>
    <row r="340" spans="2:5" x14ac:dyDescent="0.35">
      <c r="B340" s="1"/>
    </row>
    <row r="341" spans="2:5" x14ac:dyDescent="0.35">
      <c r="B341" s="1"/>
    </row>
    <row r="342" spans="2:5" x14ac:dyDescent="0.35">
      <c r="B342" s="1"/>
    </row>
    <row r="343" spans="2:5" x14ac:dyDescent="0.35">
      <c r="B343" s="1"/>
    </row>
    <row r="344" spans="2:5" x14ac:dyDescent="0.35">
      <c r="B344" s="1"/>
    </row>
    <row r="345" spans="2:5" x14ac:dyDescent="0.35">
      <c r="B345" s="1"/>
      <c r="E345" s="2"/>
    </row>
    <row r="346" spans="2:5" x14ac:dyDescent="0.35">
      <c r="B346" s="1"/>
      <c r="E346" s="2"/>
    </row>
    <row r="347" spans="2:5" x14ac:dyDescent="0.35">
      <c r="B347" s="1"/>
      <c r="E347" s="2"/>
    </row>
    <row r="348" spans="2:5" x14ac:dyDescent="0.35">
      <c r="B348" s="1"/>
      <c r="E348" s="2"/>
    </row>
    <row r="349" spans="2:5" x14ac:dyDescent="0.35">
      <c r="B349" s="1"/>
      <c r="E349" s="2"/>
    </row>
    <row r="350" spans="2:5" x14ac:dyDescent="0.35">
      <c r="B350" s="1"/>
    </row>
    <row r="351" spans="2:5" x14ac:dyDescent="0.35">
      <c r="B351" s="1"/>
      <c r="E351" s="2"/>
    </row>
    <row r="352" spans="2:5" x14ac:dyDescent="0.35">
      <c r="B352" s="1"/>
    </row>
    <row r="353" spans="2:5" x14ac:dyDescent="0.35">
      <c r="B353" s="1"/>
      <c r="E353" s="2"/>
    </row>
    <row r="354" spans="2:5" x14ac:dyDescent="0.35">
      <c r="B354" s="1"/>
    </row>
    <row r="355" spans="2:5" x14ac:dyDescent="0.35">
      <c r="B355" s="1"/>
      <c r="E355" s="2"/>
    </row>
    <row r="356" spans="2:5" x14ac:dyDescent="0.35">
      <c r="B356" s="1"/>
      <c r="E356" s="2"/>
    </row>
    <row r="357" spans="2:5" x14ac:dyDescent="0.35">
      <c r="B357" s="1"/>
    </row>
    <row r="358" spans="2:5" x14ac:dyDescent="0.35">
      <c r="B358" s="1"/>
      <c r="E358" s="2"/>
    </row>
    <row r="359" spans="2:5" x14ac:dyDescent="0.35">
      <c r="B359" s="1"/>
    </row>
    <row r="360" spans="2:5" x14ac:dyDescent="0.35">
      <c r="B360" s="1"/>
      <c r="E360" s="2"/>
    </row>
    <row r="361" spans="2:5" x14ac:dyDescent="0.35">
      <c r="B361" s="1"/>
      <c r="E361" s="2"/>
    </row>
    <row r="362" spans="2:5" x14ac:dyDescent="0.35">
      <c r="B362" s="1"/>
      <c r="E362" s="2"/>
    </row>
    <row r="363" spans="2:5" x14ac:dyDescent="0.35">
      <c r="B363" s="1"/>
    </row>
    <row r="364" spans="2:5" x14ac:dyDescent="0.35">
      <c r="B364" s="1"/>
      <c r="E364" s="2"/>
    </row>
    <row r="365" spans="2:5" x14ac:dyDescent="0.35">
      <c r="B365" s="1"/>
      <c r="E365" s="2"/>
    </row>
    <row r="366" spans="2:5" x14ac:dyDescent="0.35">
      <c r="B366" s="1"/>
    </row>
    <row r="367" spans="2:5" x14ac:dyDescent="0.35">
      <c r="B367" s="1"/>
      <c r="E367" s="2"/>
    </row>
    <row r="368" spans="2:5" x14ac:dyDescent="0.35">
      <c r="B368" s="1"/>
      <c r="E368" s="2"/>
    </row>
    <row r="369" spans="2:5" x14ac:dyDescent="0.35">
      <c r="B369" s="1"/>
    </row>
    <row r="370" spans="2:5" x14ac:dyDescent="0.35">
      <c r="B370" s="1"/>
    </row>
    <row r="371" spans="2:5" x14ac:dyDescent="0.35">
      <c r="B371" s="1"/>
      <c r="E371" s="2"/>
    </row>
    <row r="372" spans="2:5" x14ac:dyDescent="0.35">
      <c r="B372" s="1"/>
    </row>
    <row r="373" spans="2:5" x14ac:dyDescent="0.35">
      <c r="B373" s="1"/>
      <c r="E373" s="2"/>
    </row>
    <row r="374" spans="2:5" x14ac:dyDescent="0.35">
      <c r="B374" s="1"/>
    </row>
    <row r="375" spans="2:5" x14ac:dyDescent="0.35">
      <c r="B375" s="1"/>
      <c r="E375" s="2"/>
    </row>
    <row r="376" spans="2:5" x14ac:dyDescent="0.35">
      <c r="B376" s="1"/>
      <c r="E376" s="2"/>
    </row>
    <row r="377" spans="2:5" x14ac:dyDescent="0.35">
      <c r="B377" s="1"/>
    </row>
    <row r="378" spans="2:5" x14ac:dyDescent="0.35">
      <c r="B378" s="1"/>
      <c r="E378" s="2"/>
    </row>
    <row r="379" spans="2:5" x14ac:dyDescent="0.35">
      <c r="B379" s="1"/>
      <c r="E379" s="2"/>
    </row>
    <row r="380" spans="2:5" x14ac:dyDescent="0.35">
      <c r="B380" s="1"/>
    </row>
    <row r="381" spans="2:5" x14ac:dyDescent="0.35">
      <c r="B381" s="1"/>
    </row>
    <row r="382" spans="2:5" x14ac:dyDescent="0.35">
      <c r="B382" s="1"/>
    </row>
    <row r="383" spans="2:5" x14ac:dyDescent="0.35">
      <c r="B383" s="1"/>
    </row>
    <row r="384" spans="2:5" x14ac:dyDescent="0.35">
      <c r="B384" s="1"/>
      <c r="E384" s="2"/>
    </row>
    <row r="385" spans="2:5" x14ac:dyDescent="0.35">
      <c r="B385" s="1"/>
    </row>
    <row r="386" spans="2:5" x14ac:dyDescent="0.35">
      <c r="B386" s="1"/>
    </row>
    <row r="387" spans="2:5" x14ac:dyDescent="0.35">
      <c r="B387" s="1"/>
    </row>
    <row r="388" spans="2:5" x14ac:dyDescent="0.35">
      <c r="B388" s="1"/>
      <c r="E388" s="2"/>
    </row>
    <row r="389" spans="2:5" x14ac:dyDescent="0.35">
      <c r="B389" s="1"/>
      <c r="E389" s="2"/>
    </row>
    <row r="390" spans="2:5" x14ac:dyDescent="0.35">
      <c r="B390" s="1"/>
    </row>
    <row r="391" spans="2:5" x14ac:dyDescent="0.35">
      <c r="B391" s="1"/>
    </row>
    <row r="392" spans="2:5" x14ac:dyDescent="0.35">
      <c r="B392" s="1"/>
    </row>
    <row r="393" spans="2:5" x14ac:dyDescent="0.35">
      <c r="B393" s="1"/>
    </row>
    <row r="394" spans="2:5" x14ac:dyDescent="0.35">
      <c r="B394" s="1"/>
    </row>
    <row r="395" spans="2:5" x14ac:dyDescent="0.35">
      <c r="B395" s="1"/>
      <c r="E395" s="2"/>
    </row>
    <row r="396" spans="2:5" x14ac:dyDescent="0.35">
      <c r="B396" s="1"/>
      <c r="E396" s="2"/>
    </row>
    <row r="397" spans="2:5" x14ac:dyDescent="0.35">
      <c r="B397" s="1"/>
      <c r="E397" s="2"/>
    </row>
    <row r="398" spans="2:5" x14ac:dyDescent="0.35">
      <c r="B398" s="1"/>
      <c r="E398" s="2"/>
    </row>
    <row r="399" spans="2:5" x14ac:dyDescent="0.35">
      <c r="B399" s="1"/>
    </row>
    <row r="400" spans="2:5" x14ac:dyDescent="0.35">
      <c r="B400" s="1"/>
      <c r="E400" s="2"/>
    </row>
    <row r="401" spans="2:5" x14ac:dyDescent="0.35">
      <c r="B401" s="1"/>
    </row>
    <row r="402" spans="2:5" x14ac:dyDescent="0.35">
      <c r="B402" s="1"/>
    </row>
    <row r="403" spans="2:5" x14ac:dyDescent="0.35">
      <c r="B403" s="1"/>
      <c r="E403" s="2"/>
    </row>
    <row r="404" spans="2:5" x14ac:dyDescent="0.35">
      <c r="B404" s="1"/>
      <c r="E404" s="2"/>
    </row>
    <row r="405" spans="2:5" x14ac:dyDescent="0.35">
      <c r="B405" s="1"/>
      <c r="E405" s="2"/>
    </row>
    <row r="406" spans="2:5" x14ac:dyDescent="0.35">
      <c r="B406" s="1"/>
      <c r="E406" s="2"/>
    </row>
    <row r="407" spans="2:5" x14ac:dyDescent="0.35">
      <c r="B407" s="1"/>
    </row>
    <row r="408" spans="2:5" x14ac:dyDescent="0.35">
      <c r="B408" s="1"/>
      <c r="E408" s="2"/>
    </row>
    <row r="409" spans="2:5" x14ac:dyDescent="0.35">
      <c r="B409" s="1"/>
      <c r="E409" s="2"/>
    </row>
    <row r="410" spans="2:5" x14ac:dyDescent="0.35">
      <c r="B410" s="1"/>
    </row>
    <row r="411" spans="2:5" x14ac:dyDescent="0.35">
      <c r="B411" s="1"/>
    </row>
    <row r="412" spans="2:5" x14ac:dyDescent="0.35">
      <c r="B412" s="1"/>
    </row>
    <row r="413" spans="2:5" x14ac:dyDescent="0.35">
      <c r="B413" s="1"/>
    </row>
    <row r="414" spans="2:5" x14ac:dyDescent="0.35">
      <c r="B414" s="1"/>
    </row>
    <row r="415" spans="2:5" x14ac:dyDescent="0.35">
      <c r="B415" s="1"/>
    </row>
    <row r="416" spans="2:5" x14ac:dyDescent="0.35">
      <c r="B416" s="1"/>
      <c r="E416" s="2"/>
    </row>
    <row r="417" spans="2:5" x14ac:dyDescent="0.35">
      <c r="B417" s="1"/>
      <c r="E417" s="2"/>
    </row>
    <row r="418" spans="2:5" x14ac:dyDescent="0.35">
      <c r="B418" s="1"/>
    </row>
    <row r="419" spans="2:5" x14ac:dyDescent="0.35">
      <c r="B419" s="1"/>
      <c r="E419" s="2"/>
    </row>
    <row r="420" spans="2:5" x14ac:dyDescent="0.35">
      <c r="B420" s="1"/>
    </row>
    <row r="421" spans="2:5" x14ac:dyDescent="0.35">
      <c r="B421" s="1"/>
      <c r="E421" s="2"/>
    </row>
    <row r="422" spans="2:5" x14ac:dyDescent="0.35">
      <c r="B422" s="1"/>
    </row>
    <row r="423" spans="2:5" x14ac:dyDescent="0.35">
      <c r="B423" s="1"/>
      <c r="E423" s="2"/>
    </row>
    <row r="424" spans="2:5" x14ac:dyDescent="0.35">
      <c r="B424" s="1"/>
      <c r="E424" s="2"/>
    </row>
    <row r="425" spans="2:5" x14ac:dyDescent="0.35">
      <c r="B425" s="1"/>
    </row>
    <row r="426" spans="2:5" x14ac:dyDescent="0.35">
      <c r="B426" s="1"/>
    </row>
    <row r="427" spans="2:5" x14ac:dyDescent="0.35">
      <c r="B427" s="1"/>
      <c r="E427" s="2"/>
    </row>
    <row r="428" spans="2:5" x14ac:dyDescent="0.35">
      <c r="B428" s="1"/>
    </row>
    <row r="429" spans="2:5" x14ac:dyDescent="0.35">
      <c r="B429" s="1"/>
      <c r="E429" s="2"/>
    </row>
    <row r="430" spans="2:5" x14ac:dyDescent="0.35">
      <c r="B430" s="1"/>
      <c r="E430" s="2"/>
    </row>
    <row r="431" spans="2:5" x14ac:dyDescent="0.35">
      <c r="B431" s="1"/>
    </row>
    <row r="432" spans="2:5" x14ac:dyDescent="0.35">
      <c r="B432" s="1"/>
    </row>
    <row r="433" spans="2:5" x14ac:dyDescent="0.35">
      <c r="B433" s="1"/>
      <c r="E433" s="2"/>
    </row>
    <row r="434" spans="2:5" x14ac:dyDescent="0.35">
      <c r="B434" s="1"/>
    </row>
    <row r="435" spans="2:5" x14ac:dyDescent="0.35">
      <c r="B435" s="1"/>
    </row>
    <row r="436" spans="2:5" x14ac:dyDescent="0.35">
      <c r="B436" s="1"/>
    </row>
    <row r="437" spans="2:5" x14ac:dyDescent="0.35">
      <c r="B437" s="1"/>
      <c r="E437" s="2"/>
    </row>
    <row r="438" spans="2:5" x14ac:dyDescent="0.35">
      <c r="B438" s="1"/>
      <c r="E438" s="2"/>
    </row>
    <row r="439" spans="2:5" x14ac:dyDescent="0.35">
      <c r="B439" s="1"/>
      <c r="E439" s="2"/>
    </row>
    <row r="440" spans="2:5" x14ac:dyDescent="0.35">
      <c r="B440" s="1"/>
    </row>
    <row r="441" spans="2:5" x14ac:dyDescent="0.35">
      <c r="B441" s="1"/>
    </row>
    <row r="442" spans="2:5" x14ac:dyDescent="0.35">
      <c r="B442" s="1"/>
      <c r="E442" s="2"/>
    </row>
    <row r="443" spans="2:5" x14ac:dyDescent="0.35">
      <c r="B443" s="1"/>
      <c r="E443" s="2"/>
    </row>
    <row r="444" spans="2:5" x14ac:dyDescent="0.35">
      <c r="B444" s="1"/>
    </row>
    <row r="445" spans="2:5" x14ac:dyDescent="0.35">
      <c r="B445" s="1"/>
      <c r="E445" s="2"/>
    </row>
    <row r="446" spans="2:5" x14ac:dyDescent="0.35">
      <c r="B446" s="1"/>
      <c r="E446" s="2"/>
    </row>
    <row r="447" spans="2:5" x14ac:dyDescent="0.35">
      <c r="B447" s="1"/>
    </row>
    <row r="448" spans="2:5" x14ac:dyDescent="0.35">
      <c r="B448" s="1"/>
    </row>
    <row r="449" spans="2:5" x14ac:dyDescent="0.35">
      <c r="B449" s="1"/>
    </row>
    <row r="450" spans="2:5" x14ac:dyDescent="0.35">
      <c r="B450" s="1"/>
      <c r="E450" s="2"/>
    </row>
    <row r="451" spans="2:5" x14ac:dyDescent="0.35">
      <c r="B451" s="1"/>
      <c r="E451" s="2"/>
    </row>
    <row r="452" spans="2:5" x14ac:dyDescent="0.35">
      <c r="B452" s="1"/>
      <c r="E452" s="2"/>
    </row>
    <row r="453" spans="2:5" x14ac:dyDescent="0.35">
      <c r="B453" s="1"/>
      <c r="E453" s="2"/>
    </row>
    <row r="454" spans="2:5" x14ac:dyDescent="0.35">
      <c r="B454" s="1"/>
      <c r="E454" s="2"/>
    </row>
    <row r="455" spans="2:5" x14ac:dyDescent="0.35">
      <c r="B455" s="1"/>
    </row>
    <row r="456" spans="2:5" x14ac:dyDescent="0.35">
      <c r="B456" s="1"/>
    </row>
    <row r="457" spans="2:5" x14ac:dyDescent="0.35">
      <c r="B457" s="1"/>
    </row>
    <row r="458" spans="2:5" x14ac:dyDescent="0.35">
      <c r="B458" s="1"/>
    </row>
    <row r="459" spans="2:5" x14ac:dyDescent="0.35">
      <c r="B459" s="1"/>
      <c r="E459" s="2"/>
    </row>
    <row r="460" spans="2:5" x14ac:dyDescent="0.35">
      <c r="B460" s="1"/>
    </row>
    <row r="461" spans="2:5" x14ac:dyDescent="0.35">
      <c r="B461" s="1"/>
    </row>
    <row r="462" spans="2:5" x14ac:dyDescent="0.35">
      <c r="B462" s="1"/>
      <c r="E462" s="2"/>
    </row>
    <row r="463" spans="2:5" x14ac:dyDescent="0.35">
      <c r="B463" s="1"/>
    </row>
    <row r="464" spans="2:5" x14ac:dyDescent="0.35">
      <c r="B464" s="1"/>
    </row>
    <row r="465" spans="2:5" x14ac:dyDescent="0.35">
      <c r="B465" s="1"/>
      <c r="E465" s="2"/>
    </row>
    <row r="466" spans="2:5" x14ac:dyDescent="0.35">
      <c r="B466" s="1"/>
    </row>
    <row r="467" spans="2:5" x14ac:dyDescent="0.35">
      <c r="B467" s="1"/>
      <c r="E467" s="2"/>
    </row>
    <row r="468" spans="2:5" x14ac:dyDescent="0.35">
      <c r="B468" s="1"/>
    </row>
    <row r="469" spans="2:5" x14ac:dyDescent="0.35">
      <c r="B469" s="1"/>
      <c r="E469" s="2"/>
    </row>
    <row r="470" spans="2:5" x14ac:dyDescent="0.35">
      <c r="B470" s="1"/>
    </row>
    <row r="471" spans="2:5" x14ac:dyDescent="0.35">
      <c r="B471" s="1"/>
      <c r="E471" s="2"/>
    </row>
    <row r="472" spans="2:5" x14ac:dyDescent="0.35">
      <c r="B472" s="1"/>
    </row>
    <row r="473" spans="2:5" x14ac:dyDescent="0.35">
      <c r="B473" s="1"/>
      <c r="E473" s="2"/>
    </row>
    <row r="474" spans="2:5" x14ac:dyDescent="0.35">
      <c r="B474" s="1"/>
    </row>
    <row r="475" spans="2:5" x14ac:dyDescent="0.35">
      <c r="B475" s="1"/>
    </row>
    <row r="476" spans="2:5" x14ac:dyDescent="0.35">
      <c r="B476" s="1"/>
      <c r="E476" s="2"/>
    </row>
    <row r="477" spans="2:5" x14ac:dyDescent="0.35">
      <c r="B477" s="1"/>
      <c r="E477" s="2"/>
    </row>
    <row r="478" spans="2:5" x14ac:dyDescent="0.35">
      <c r="B478" s="1"/>
    </row>
    <row r="479" spans="2:5" x14ac:dyDescent="0.35">
      <c r="B479" s="1"/>
    </row>
    <row r="480" spans="2:5" x14ac:dyDescent="0.35">
      <c r="B480" s="1"/>
      <c r="E480" s="2"/>
    </row>
    <row r="481" spans="2:5" x14ac:dyDescent="0.35">
      <c r="B481" s="1"/>
    </row>
    <row r="482" spans="2:5" x14ac:dyDescent="0.35">
      <c r="B482" s="1"/>
      <c r="E482" s="2"/>
    </row>
    <row r="483" spans="2:5" x14ac:dyDescent="0.35">
      <c r="B483" s="1"/>
    </row>
    <row r="484" spans="2:5" x14ac:dyDescent="0.35">
      <c r="B484" s="1"/>
      <c r="E484" s="2"/>
    </row>
    <row r="485" spans="2:5" x14ac:dyDescent="0.35">
      <c r="B485" s="1"/>
      <c r="E485" s="2"/>
    </row>
    <row r="486" spans="2:5" x14ac:dyDescent="0.35">
      <c r="B486" s="1"/>
    </row>
    <row r="487" spans="2:5" x14ac:dyDescent="0.35">
      <c r="B487" s="1"/>
      <c r="E487" s="2"/>
    </row>
    <row r="488" spans="2:5" x14ac:dyDescent="0.35">
      <c r="B488" s="1"/>
      <c r="E488" s="2"/>
    </row>
    <row r="489" spans="2:5" x14ac:dyDescent="0.35">
      <c r="B489" s="1"/>
      <c r="E489" s="2"/>
    </row>
    <row r="490" spans="2:5" x14ac:dyDescent="0.35">
      <c r="B490" s="1"/>
      <c r="E490" s="2"/>
    </row>
    <row r="491" spans="2:5" x14ac:dyDescent="0.35">
      <c r="B491" s="1"/>
      <c r="E491" s="2"/>
    </row>
    <row r="492" spans="2:5" x14ac:dyDescent="0.35">
      <c r="B492" s="1"/>
    </row>
    <row r="493" spans="2:5" x14ac:dyDescent="0.35">
      <c r="B493" s="1"/>
      <c r="E493" s="2"/>
    </row>
    <row r="494" spans="2:5" x14ac:dyDescent="0.35">
      <c r="B494" s="1"/>
      <c r="E494" s="2"/>
    </row>
    <row r="495" spans="2:5" x14ac:dyDescent="0.35">
      <c r="B495" s="1"/>
    </row>
    <row r="496" spans="2:5" x14ac:dyDescent="0.35">
      <c r="B496" s="1"/>
      <c r="E496" s="2"/>
    </row>
    <row r="497" spans="2:5" x14ac:dyDescent="0.35">
      <c r="B497" s="1"/>
    </row>
    <row r="498" spans="2:5" x14ac:dyDescent="0.35">
      <c r="B498" s="1"/>
    </row>
    <row r="499" spans="2:5" x14ac:dyDescent="0.35">
      <c r="B499" s="1"/>
    </row>
    <row r="500" spans="2:5" x14ac:dyDescent="0.35">
      <c r="B500" s="1"/>
      <c r="E500" s="2"/>
    </row>
    <row r="501" spans="2:5" x14ac:dyDescent="0.35">
      <c r="B501" s="1"/>
    </row>
    <row r="502" spans="2:5" x14ac:dyDescent="0.35">
      <c r="B502" s="1"/>
      <c r="E502" s="2"/>
    </row>
    <row r="503" spans="2:5" x14ac:dyDescent="0.35">
      <c r="B503" s="1"/>
      <c r="E503" s="2"/>
    </row>
    <row r="504" spans="2:5" x14ac:dyDescent="0.35">
      <c r="B504" s="1"/>
    </row>
    <row r="505" spans="2:5" x14ac:dyDescent="0.35">
      <c r="B505" s="1"/>
    </row>
    <row r="506" spans="2:5" x14ac:dyDescent="0.35">
      <c r="B506" s="1"/>
      <c r="E506" s="2"/>
    </row>
    <row r="507" spans="2:5" x14ac:dyDescent="0.35">
      <c r="B507" s="1"/>
      <c r="E507" s="2"/>
    </row>
    <row r="508" spans="2:5" x14ac:dyDescent="0.35">
      <c r="B508" s="1"/>
    </row>
    <row r="509" spans="2:5" x14ac:dyDescent="0.35">
      <c r="B509" s="1"/>
      <c r="E509" s="2"/>
    </row>
    <row r="510" spans="2:5" x14ac:dyDescent="0.35">
      <c r="B510" s="1"/>
      <c r="E510" s="2"/>
    </row>
    <row r="511" spans="2:5" x14ac:dyDescent="0.35">
      <c r="B511" s="1"/>
      <c r="E511" s="2"/>
    </row>
    <row r="512" spans="2:5" x14ac:dyDescent="0.35">
      <c r="B512" s="1"/>
    </row>
    <row r="513" spans="2:5" x14ac:dyDescent="0.35">
      <c r="B513" s="1"/>
    </row>
    <row r="514" spans="2:5" x14ac:dyDescent="0.35">
      <c r="B514" s="1"/>
      <c r="E514" s="2"/>
    </row>
    <row r="515" spans="2:5" x14ac:dyDescent="0.35">
      <c r="B515" s="1"/>
      <c r="E515" s="2"/>
    </row>
    <row r="516" spans="2:5" x14ac:dyDescent="0.35">
      <c r="B516" s="1"/>
    </row>
    <row r="517" spans="2:5" x14ac:dyDescent="0.35">
      <c r="B517" s="1"/>
    </row>
    <row r="518" spans="2:5" x14ac:dyDescent="0.35">
      <c r="B518" s="1"/>
      <c r="E518" s="2"/>
    </row>
    <row r="519" spans="2:5" x14ac:dyDescent="0.35">
      <c r="B519" s="1"/>
    </row>
    <row r="520" spans="2:5" x14ac:dyDescent="0.35">
      <c r="B520" s="1"/>
      <c r="E520" s="2"/>
    </row>
    <row r="521" spans="2:5" x14ac:dyDescent="0.35">
      <c r="B521" s="1"/>
      <c r="E521" s="2"/>
    </row>
    <row r="522" spans="2:5" x14ac:dyDescent="0.35">
      <c r="B522" s="1"/>
      <c r="E522" s="2"/>
    </row>
    <row r="523" spans="2:5" x14ac:dyDescent="0.35">
      <c r="B523" s="1"/>
      <c r="E523" s="2"/>
    </row>
    <row r="524" spans="2:5" x14ac:dyDescent="0.35">
      <c r="B524" s="1"/>
    </row>
    <row r="525" spans="2:5" x14ac:dyDescent="0.35">
      <c r="B525" s="1"/>
    </row>
    <row r="526" spans="2:5" x14ac:dyDescent="0.35">
      <c r="B526" s="1"/>
      <c r="E526" s="2"/>
    </row>
    <row r="527" spans="2:5" x14ac:dyDescent="0.35">
      <c r="B527" s="1"/>
      <c r="E527" s="2"/>
    </row>
    <row r="528" spans="2:5" x14ac:dyDescent="0.35">
      <c r="B528" s="1"/>
      <c r="E528" s="2"/>
    </row>
    <row r="529" spans="2:5" x14ac:dyDescent="0.35">
      <c r="B529" s="1"/>
    </row>
    <row r="530" spans="2:5" x14ac:dyDescent="0.35">
      <c r="B530" s="1"/>
    </row>
    <row r="531" spans="2:5" x14ac:dyDescent="0.35">
      <c r="B531" s="1"/>
      <c r="E531" s="2"/>
    </row>
    <row r="532" spans="2:5" x14ac:dyDescent="0.35">
      <c r="B532" s="1"/>
      <c r="E532" s="2"/>
    </row>
    <row r="533" spans="2:5" x14ac:dyDescent="0.35">
      <c r="B533" s="1"/>
      <c r="E533" s="2"/>
    </row>
    <row r="534" spans="2:5" x14ac:dyDescent="0.35">
      <c r="B534" s="1"/>
      <c r="E534" s="2"/>
    </row>
    <row r="535" spans="2:5" x14ac:dyDescent="0.35">
      <c r="B535" s="1"/>
    </row>
    <row r="536" spans="2:5" x14ac:dyDescent="0.35">
      <c r="B536" s="1"/>
      <c r="E536" s="2"/>
    </row>
    <row r="537" spans="2:5" x14ac:dyDescent="0.35">
      <c r="B537" s="1"/>
      <c r="E537" s="2"/>
    </row>
    <row r="538" spans="2:5" x14ac:dyDescent="0.35">
      <c r="B538" s="1"/>
    </row>
    <row r="539" spans="2:5" x14ac:dyDescent="0.35">
      <c r="B539" s="1"/>
      <c r="E539" s="2"/>
    </row>
    <row r="540" spans="2:5" x14ac:dyDescent="0.35">
      <c r="B540" s="1"/>
    </row>
    <row r="541" spans="2:5" x14ac:dyDescent="0.35">
      <c r="B541" s="1"/>
      <c r="E541" s="2"/>
    </row>
    <row r="542" spans="2:5" x14ac:dyDescent="0.35">
      <c r="B542" s="1"/>
    </row>
    <row r="543" spans="2:5" x14ac:dyDescent="0.35">
      <c r="B543" s="1"/>
      <c r="E543" s="2"/>
    </row>
    <row r="544" spans="2:5" x14ac:dyDescent="0.35">
      <c r="B544" s="1"/>
      <c r="E544" s="2"/>
    </row>
    <row r="545" spans="2:5" x14ac:dyDescent="0.35">
      <c r="B545" s="1"/>
      <c r="E545" s="2"/>
    </row>
    <row r="546" spans="2:5" x14ac:dyDescent="0.35">
      <c r="B546" s="1"/>
    </row>
    <row r="547" spans="2:5" x14ac:dyDescent="0.35">
      <c r="B547" s="1"/>
    </row>
    <row r="548" spans="2:5" x14ac:dyDescent="0.35">
      <c r="B548" s="1"/>
    </row>
    <row r="549" spans="2:5" x14ac:dyDescent="0.35">
      <c r="B549" s="1"/>
    </row>
    <row r="550" spans="2:5" x14ac:dyDescent="0.35">
      <c r="B550" s="1"/>
    </row>
    <row r="551" spans="2:5" x14ac:dyDescent="0.35">
      <c r="B551" s="1"/>
    </row>
    <row r="552" spans="2:5" x14ac:dyDescent="0.35">
      <c r="B552" s="1"/>
      <c r="E552" s="2"/>
    </row>
    <row r="553" spans="2:5" x14ac:dyDescent="0.35">
      <c r="B553" s="1"/>
    </row>
    <row r="554" spans="2:5" x14ac:dyDescent="0.35">
      <c r="B554" s="1"/>
    </row>
    <row r="555" spans="2:5" x14ac:dyDescent="0.35">
      <c r="B555" s="1"/>
    </row>
    <row r="556" spans="2:5" x14ac:dyDescent="0.35">
      <c r="B556" s="1"/>
    </row>
    <row r="557" spans="2:5" x14ac:dyDescent="0.35">
      <c r="B557" s="1"/>
    </row>
    <row r="558" spans="2:5" x14ac:dyDescent="0.35">
      <c r="B558" s="1"/>
      <c r="E558" s="2"/>
    </row>
    <row r="559" spans="2:5" x14ac:dyDescent="0.35">
      <c r="B559" s="1"/>
    </row>
    <row r="560" spans="2:5" x14ac:dyDescent="0.35">
      <c r="B560" s="1"/>
      <c r="E560" s="2"/>
    </row>
    <row r="561" spans="2:5" x14ac:dyDescent="0.35">
      <c r="B561" s="1"/>
      <c r="E561" s="2"/>
    </row>
    <row r="562" spans="2:5" x14ac:dyDescent="0.35">
      <c r="B562" s="1"/>
      <c r="E562" s="2"/>
    </row>
    <row r="563" spans="2:5" x14ac:dyDescent="0.35">
      <c r="B563" s="1"/>
    </row>
    <row r="564" spans="2:5" x14ac:dyDescent="0.35">
      <c r="B564" s="1"/>
      <c r="E564" s="2"/>
    </row>
    <row r="565" spans="2:5" x14ac:dyDescent="0.35">
      <c r="B565" s="1"/>
    </row>
    <row r="566" spans="2:5" x14ac:dyDescent="0.35">
      <c r="B566" s="1"/>
      <c r="E566" s="2"/>
    </row>
    <row r="567" spans="2:5" x14ac:dyDescent="0.35">
      <c r="B567" s="1"/>
    </row>
    <row r="568" spans="2:5" x14ac:dyDescent="0.35">
      <c r="B568" s="1"/>
    </row>
    <row r="569" spans="2:5" x14ac:dyDescent="0.35">
      <c r="B569" s="1"/>
      <c r="E569" s="2"/>
    </row>
    <row r="570" spans="2:5" x14ac:dyDescent="0.35">
      <c r="B570" s="1"/>
      <c r="E570" s="2"/>
    </row>
    <row r="571" spans="2:5" x14ac:dyDescent="0.35">
      <c r="B571" s="1"/>
    </row>
    <row r="572" spans="2:5" x14ac:dyDescent="0.35">
      <c r="B572" s="1"/>
      <c r="E572" s="2"/>
    </row>
    <row r="573" spans="2:5" x14ac:dyDescent="0.35">
      <c r="B573" s="1"/>
    </row>
    <row r="574" spans="2:5" x14ac:dyDescent="0.35">
      <c r="B574" s="1"/>
    </row>
    <row r="575" spans="2:5" x14ac:dyDescent="0.35">
      <c r="B575" s="1"/>
      <c r="E575" s="2"/>
    </row>
    <row r="576" spans="2:5" x14ac:dyDescent="0.35">
      <c r="B576" s="1"/>
    </row>
    <row r="577" spans="2:5" x14ac:dyDescent="0.35">
      <c r="B577" s="1"/>
      <c r="E577" s="2"/>
    </row>
    <row r="578" spans="2:5" x14ac:dyDescent="0.35">
      <c r="B578" s="1"/>
    </row>
    <row r="579" spans="2:5" x14ac:dyDescent="0.35">
      <c r="B579" s="1"/>
      <c r="E579" s="2"/>
    </row>
    <row r="580" spans="2:5" x14ac:dyDescent="0.35">
      <c r="B580" s="1"/>
      <c r="E580" s="2"/>
    </row>
    <row r="581" spans="2:5" x14ac:dyDescent="0.35">
      <c r="B581" s="1"/>
    </row>
    <row r="582" spans="2:5" x14ac:dyDescent="0.35">
      <c r="B582" s="1"/>
    </row>
    <row r="583" spans="2:5" x14ac:dyDescent="0.35">
      <c r="B583" s="1"/>
    </row>
    <row r="584" spans="2:5" x14ac:dyDescent="0.35">
      <c r="B584" s="1"/>
      <c r="E584" s="2"/>
    </row>
    <row r="585" spans="2:5" x14ac:dyDescent="0.35">
      <c r="B585" s="1"/>
    </row>
    <row r="586" spans="2:5" x14ac:dyDescent="0.35">
      <c r="B586" s="1"/>
      <c r="E586" s="2"/>
    </row>
    <row r="587" spans="2:5" x14ac:dyDescent="0.35">
      <c r="B587" s="1"/>
    </row>
    <row r="588" spans="2:5" x14ac:dyDescent="0.35">
      <c r="B588" s="1"/>
    </row>
    <row r="589" spans="2:5" x14ac:dyDescent="0.35">
      <c r="B589" s="1"/>
      <c r="E589" s="2"/>
    </row>
    <row r="590" spans="2:5" x14ac:dyDescent="0.35">
      <c r="B590" s="1"/>
    </row>
    <row r="591" spans="2:5" x14ac:dyDescent="0.35">
      <c r="B591" s="1"/>
    </row>
    <row r="592" spans="2:5" x14ac:dyDescent="0.35">
      <c r="B592" s="1"/>
      <c r="E592" s="2"/>
    </row>
    <row r="593" spans="2:5" x14ac:dyDescent="0.35">
      <c r="B593" s="1"/>
    </row>
    <row r="594" spans="2:5" x14ac:dyDescent="0.35">
      <c r="B594" s="1"/>
      <c r="E594" s="2"/>
    </row>
    <row r="595" spans="2:5" x14ac:dyDescent="0.35">
      <c r="B595" s="1"/>
      <c r="E595" s="2"/>
    </row>
    <row r="596" spans="2:5" x14ac:dyDescent="0.35">
      <c r="B596" s="1"/>
      <c r="E596" s="2"/>
    </row>
    <row r="597" spans="2:5" x14ac:dyDescent="0.35">
      <c r="B597" s="1"/>
    </row>
    <row r="598" spans="2:5" x14ac:dyDescent="0.35">
      <c r="B598" s="1"/>
      <c r="E598" s="2"/>
    </row>
    <row r="599" spans="2:5" x14ac:dyDescent="0.35">
      <c r="B599" s="1"/>
      <c r="E599" s="2"/>
    </row>
    <row r="600" spans="2:5" x14ac:dyDescent="0.35">
      <c r="B600" s="1"/>
    </row>
    <row r="601" spans="2:5" x14ac:dyDescent="0.35">
      <c r="B601" s="1"/>
    </row>
    <row r="602" spans="2:5" x14ac:dyDescent="0.35">
      <c r="B602" s="1"/>
      <c r="E602" s="2"/>
    </row>
    <row r="603" spans="2:5" x14ac:dyDescent="0.35">
      <c r="B603" s="1"/>
    </row>
    <row r="604" spans="2:5" x14ac:dyDescent="0.35">
      <c r="B604" s="1"/>
      <c r="E604" s="2"/>
    </row>
    <row r="605" spans="2:5" x14ac:dyDescent="0.35">
      <c r="B605" s="1"/>
    </row>
    <row r="606" spans="2:5" x14ac:dyDescent="0.35">
      <c r="B606" s="1"/>
      <c r="E606" s="2"/>
    </row>
    <row r="607" spans="2:5" x14ac:dyDescent="0.35">
      <c r="B607" s="1"/>
    </row>
    <row r="608" spans="2:5" x14ac:dyDescent="0.35">
      <c r="B608" s="1"/>
    </row>
    <row r="609" spans="2:5" x14ac:dyDescent="0.35">
      <c r="B609" s="1"/>
      <c r="E609" s="2"/>
    </row>
    <row r="610" spans="2:5" x14ac:dyDescent="0.35">
      <c r="B610" s="1"/>
    </row>
    <row r="611" spans="2:5" x14ac:dyDescent="0.35">
      <c r="B611" s="1"/>
    </row>
    <row r="612" spans="2:5" x14ac:dyDescent="0.35">
      <c r="B612" s="1"/>
      <c r="E612" s="2"/>
    </row>
    <row r="613" spans="2:5" x14ac:dyDescent="0.35">
      <c r="B613" s="1"/>
      <c r="E613" s="2"/>
    </row>
    <row r="614" spans="2:5" x14ac:dyDescent="0.35">
      <c r="B614" s="1"/>
    </row>
    <row r="615" spans="2:5" x14ac:dyDescent="0.35">
      <c r="B615" s="1"/>
      <c r="E615" s="2"/>
    </row>
    <row r="616" spans="2:5" x14ac:dyDescent="0.35">
      <c r="B616" s="1"/>
      <c r="E616" s="2"/>
    </row>
    <row r="617" spans="2:5" x14ac:dyDescent="0.35">
      <c r="B617" s="1"/>
    </row>
    <row r="618" spans="2:5" x14ac:dyDescent="0.35">
      <c r="B618" s="1"/>
    </row>
    <row r="619" spans="2:5" x14ac:dyDescent="0.35">
      <c r="B619" s="1"/>
    </row>
    <row r="620" spans="2:5" x14ac:dyDescent="0.35">
      <c r="B620" s="1"/>
      <c r="E620" s="2"/>
    </row>
    <row r="621" spans="2:5" x14ac:dyDescent="0.35">
      <c r="B621" s="1"/>
    </row>
    <row r="622" spans="2:5" x14ac:dyDescent="0.35">
      <c r="B622" s="1"/>
      <c r="E622" s="2"/>
    </row>
    <row r="623" spans="2:5" x14ac:dyDescent="0.35">
      <c r="B623" s="1"/>
      <c r="E623" s="2"/>
    </row>
    <row r="624" spans="2:5" x14ac:dyDescent="0.35">
      <c r="B624" s="1"/>
      <c r="E624" s="2"/>
    </row>
    <row r="625" spans="2:5" x14ac:dyDescent="0.35">
      <c r="B625" s="1"/>
    </row>
    <row r="626" spans="2:5" x14ac:dyDescent="0.35">
      <c r="B626" s="1"/>
      <c r="E626" s="2"/>
    </row>
    <row r="627" spans="2:5" x14ac:dyDescent="0.35">
      <c r="B627" s="1"/>
    </row>
    <row r="628" spans="2:5" x14ac:dyDescent="0.35">
      <c r="B628" s="1"/>
      <c r="E628" s="2"/>
    </row>
    <row r="629" spans="2:5" x14ac:dyDescent="0.35">
      <c r="B629" s="1"/>
    </row>
    <row r="630" spans="2:5" x14ac:dyDescent="0.35">
      <c r="B630" s="1"/>
    </row>
    <row r="631" spans="2:5" x14ac:dyDescent="0.35">
      <c r="B631" s="1"/>
      <c r="E631" s="2"/>
    </row>
    <row r="632" spans="2:5" x14ac:dyDescent="0.35">
      <c r="B632" s="1"/>
      <c r="E632" s="2"/>
    </row>
    <row r="633" spans="2:5" x14ac:dyDescent="0.35">
      <c r="B633" s="1"/>
      <c r="E633" s="2"/>
    </row>
    <row r="634" spans="2:5" x14ac:dyDescent="0.35">
      <c r="B634" s="1"/>
      <c r="E634" s="2"/>
    </row>
    <row r="635" spans="2:5" x14ac:dyDescent="0.35">
      <c r="B635" s="1"/>
      <c r="E635" s="2"/>
    </row>
    <row r="636" spans="2:5" x14ac:dyDescent="0.35">
      <c r="B636" s="1"/>
      <c r="E636" s="2"/>
    </row>
    <row r="637" spans="2:5" x14ac:dyDescent="0.35">
      <c r="B637" s="1"/>
      <c r="E637" s="2"/>
    </row>
    <row r="638" spans="2:5" x14ac:dyDescent="0.35">
      <c r="B638" s="1"/>
      <c r="E638" s="2"/>
    </row>
    <row r="639" spans="2:5" x14ac:dyDescent="0.35">
      <c r="B639" s="1"/>
      <c r="E639" s="2"/>
    </row>
    <row r="640" spans="2:5" x14ac:dyDescent="0.35">
      <c r="B640" s="1"/>
    </row>
    <row r="641" spans="2:5" x14ac:dyDescent="0.35">
      <c r="B641" s="1"/>
      <c r="E641" s="2"/>
    </row>
    <row r="642" spans="2:5" x14ac:dyDescent="0.35">
      <c r="B642" s="1"/>
      <c r="E642" s="2"/>
    </row>
    <row r="643" spans="2:5" x14ac:dyDescent="0.35">
      <c r="B643" s="1"/>
      <c r="E643" s="2"/>
    </row>
    <row r="644" spans="2:5" x14ac:dyDescent="0.35">
      <c r="B644" s="1"/>
      <c r="E644" s="2"/>
    </row>
    <row r="645" spans="2:5" x14ac:dyDescent="0.35">
      <c r="B645" s="1"/>
      <c r="E645" s="2"/>
    </row>
    <row r="646" spans="2:5" x14ac:dyDescent="0.35">
      <c r="B646" s="1"/>
    </row>
    <row r="647" spans="2:5" x14ac:dyDescent="0.35">
      <c r="B647" s="1"/>
      <c r="E647" s="2"/>
    </row>
    <row r="648" spans="2:5" x14ac:dyDescent="0.35">
      <c r="B648" s="1"/>
    </row>
    <row r="649" spans="2:5" x14ac:dyDescent="0.35">
      <c r="B649" s="1"/>
      <c r="E649" s="2"/>
    </row>
    <row r="650" spans="2:5" x14ac:dyDescent="0.35">
      <c r="B650" s="1"/>
    </row>
    <row r="651" spans="2:5" x14ac:dyDescent="0.35">
      <c r="B651" s="1"/>
    </row>
    <row r="652" spans="2:5" x14ac:dyDescent="0.35">
      <c r="B652" s="1"/>
    </row>
    <row r="653" spans="2:5" x14ac:dyDescent="0.35">
      <c r="B653" s="1"/>
    </row>
    <row r="654" spans="2:5" x14ac:dyDescent="0.35">
      <c r="B654" s="1"/>
    </row>
    <row r="655" spans="2:5" x14ac:dyDescent="0.35">
      <c r="B655" s="1"/>
      <c r="E655" s="2"/>
    </row>
    <row r="656" spans="2:5" x14ac:dyDescent="0.35">
      <c r="B656" s="1"/>
    </row>
    <row r="657" spans="2:5" x14ac:dyDescent="0.35">
      <c r="B657" s="1"/>
      <c r="E657" s="2"/>
    </row>
    <row r="658" spans="2:5" x14ac:dyDescent="0.35">
      <c r="B658" s="1"/>
    </row>
    <row r="659" spans="2:5" x14ac:dyDescent="0.35">
      <c r="B659" s="1"/>
      <c r="E659" s="2"/>
    </row>
    <row r="660" spans="2:5" x14ac:dyDescent="0.35">
      <c r="B660" s="1"/>
    </row>
    <row r="661" spans="2:5" x14ac:dyDescent="0.35">
      <c r="B661" s="1"/>
    </row>
    <row r="662" spans="2:5" x14ac:dyDescent="0.35">
      <c r="B662" s="1"/>
      <c r="E662" s="2"/>
    </row>
    <row r="663" spans="2:5" x14ac:dyDescent="0.35">
      <c r="B663" s="1"/>
    </row>
    <row r="664" spans="2:5" x14ac:dyDescent="0.35">
      <c r="B664" s="1"/>
      <c r="E664" s="2"/>
    </row>
    <row r="665" spans="2:5" x14ac:dyDescent="0.35">
      <c r="B665" s="1"/>
    </row>
    <row r="666" spans="2:5" x14ac:dyDescent="0.35">
      <c r="B666" s="1"/>
    </row>
    <row r="667" spans="2:5" x14ac:dyDescent="0.35">
      <c r="B667" s="1"/>
      <c r="E667" s="2"/>
    </row>
    <row r="668" spans="2:5" x14ac:dyDescent="0.35">
      <c r="B668" s="1"/>
    </row>
    <row r="669" spans="2:5" x14ac:dyDescent="0.35">
      <c r="B669" s="1"/>
      <c r="E669" s="2"/>
    </row>
    <row r="670" spans="2:5" x14ac:dyDescent="0.35">
      <c r="B670" s="1"/>
    </row>
    <row r="671" spans="2:5" x14ac:dyDescent="0.35">
      <c r="B671" s="1"/>
    </row>
    <row r="672" spans="2:5" x14ac:dyDescent="0.35">
      <c r="B672" s="1"/>
    </row>
    <row r="673" spans="2:5" x14ac:dyDescent="0.35">
      <c r="B673" s="1"/>
      <c r="E673" s="2"/>
    </row>
    <row r="674" spans="2:5" x14ac:dyDescent="0.35">
      <c r="B674" s="1"/>
    </row>
    <row r="675" spans="2:5" x14ac:dyDescent="0.35">
      <c r="B675" s="1"/>
      <c r="E675" s="2"/>
    </row>
    <row r="676" spans="2:5" x14ac:dyDescent="0.35">
      <c r="B676" s="1"/>
      <c r="E676" s="2"/>
    </row>
    <row r="677" spans="2:5" x14ac:dyDescent="0.35">
      <c r="B677" s="1"/>
      <c r="E677" s="2"/>
    </row>
    <row r="678" spans="2:5" x14ac:dyDescent="0.35">
      <c r="B678" s="1"/>
      <c r="E678" s="2"/>
    </row>
    <row r="679" spans="2:5" x14ac:dyDescent="0.35">
      <c r="B679" s="1"/>
      <c r="E679" s="2"/>
    </row>
    <row r="680" spans="2:5" x14ac:dyDescent="0.35">
      <c r="B680" s="1"/>
    </row>
    <row r="681" spans="2:5" x14ac:dyDescent="0.35">
      <c r="B681" s="1"/>
    </row>
    <row r="682" spans="2:5" x14ac:dyDescent="0.35">
      <c r="B682" s="1"/>
    </row>
    <row r="683" spans="2:5" x14ac:dyDescent="0.35">
      <c r="B683" s="1"/>
      <c r="E683" s="2"/>
    </row>
    <row r="684" spans="2:5" x14ac:dyDescent="0.35">
      <c r="B684" s="1"/>
      <c r="E684" s="2"/>
    </row>
    <row r="685" spans="2:5" x14ac:dyDescent="0.35">
      <c r="B685" s="1"/>
      <c r="E685" s="2"/>
    </row>
    <row r="686" spans="2:5" x14ac:dyDescent="0.35">
      <c r="B686" s="1"/>
    </row>
    <row r="687" spans="2:5" x14ac:dyDescent="0.35">
      <c r="B687" s="1"/>
      <c r="E687" s="2"/>
    </row>
    <row r="688" spans="2:5" x14ac:dyDescent="0.35">
      <c r="B688" s="1"/>
    </row>
    <row r="689" spans="2:5" x14ac:dyDescent="0.35">
      <c r="B689" s="1"/>
      <c r="E689" s="2"/>
    </row>
    <row r="690" spans="2:5" x14ac:dyDescent="0.35">
      <c r="B690" s="1"/>
    </row>
    <row r="691" spans="2:5" x14ac:dyDescent="0.35">
      <c r="B691" s="1"/>
      <c r="E691" s="2"/>
    </row>
    <row r="692" spans="2:5" x14ac:dyDescent="0.35">
      <c r="B692" s="1"/>
    </row>
    <row r="693" spans="2:5" x14ac:dyDescent="0.35">
      <c r="B693" s="1"/>
    </row>
    <row r="694" spans="2:5" x14ac:dyDescent="0.35">
      <c r="B694" s="1"/>
      <c r="E694" s="2"/>
    </row>
    <row r="695" spans="2:5" x14ac:dyDescent="0.35">
      <c r="B695" s="1"/>
    </row>
    <row r="696" spans="2:5" x14ac:dyDescent="0.35">
      <c r="B696" s="1"/>
      <c r="E696" s="2"/>
    </row>
    <row r="697" spans="2:5" x14ac:dyDescent="0.35">
      <c r="B697" s="1"/>
      <c r="E697" s="2"/>
    </row>
    <row r="698" spans="2:5" x14ac:dyDescent="0.35">
      <c r="B698" s="1"/>
      <c r="E698" s="2"/>
    </row>
    <row r="699" spans="2:5" x14ac:dyDescent="0.35">
      <c r="B699" s="1"/>
    </row>
    <row r="700" spans="2:5" x14ac:dyDescent="0.35">
      <c r="B700" s="1"/>
    </row>
    <row r="701" spans="2:5" x14ac:dyDescent="0.35">
      <c r="B701" s="1"/>
      <c r="E701" s="2"/>
    </row>
    <row r="702" spans="2:5" x14ac:dyDescent="0.35">
      <c r="B702" s="1"/>
    </row>
    <row r="703" spans="2:5" x14ac:dyDescent="0.35">
      <c r="B703" s="1"/>
      <c r="E703" s="2"/>
    </row>
    <row r="704" spans="2:5" x14ac:dyDescent="0.35">
      <c r="B704" s="1"/>
    </row>
    <row r="705" spans="2:5" x14ac:dyDescent="0.35">
      <c r="B705" s="1"/>
      <c r="E705" s="2"/>
    </row>
    <row r="706" spans="2:5" x14ac:dyDescent="0.35">
      <c r="B706" s="1"/>
    </row>
    <row r="707" spans="2:5" x14ac:dyDescent="0.35">
      <c r="B707" s="1"/>
      <c r="E707" s="2"/>
    </row>
    <row r="708" spans="2:5" x14ac:dyDescent="0.35">
      <c r="B708" s="1"/>
      <c r="E708" s="2"/>
    </row>
    <row r="709" spans="2:5" x14ac:dyDescent="0.35">
      <c r="B709" s="1"/>
    </row>
    <row r="710" spans="2:5" x14ac:dyDescent="0.35">
      <c r="B710" s="1"/>
      <c r="E710" s="2"/>
    </row>
    <row r="711" spans="2:5" x14ac:dyDescent="0.35">
      <c r="B711" s="1"/>
    </row>
    <row r="712" spans="2:5" x14ac:dyDescent="0.35">
      <c r="B712" s="1"/>
    </row>
    <row r="713" spans="2:5" x14ac:dyDescent="0.35">
      <c r="B713" s="1"/>
    </row>
    <row r="714" spans="2:5" x14ac:dyDescent="0.35">
      <c r="B714" s="1"/>
      <c r="E714" s="2"/>
    </row>
    <row r="715" spans="2:5" x14ac:dyDescent="0.35">
      <c r="B715" s="1"/>
      <c r="E715" s="2"/>
    </row>
    <row r="716" spans="2:5" x14ac:dyDescent="0.35">
      <c r="B716" s="1"/>
      <c r="E716" s="2"/>
    </row>
    <row r="717" spans="2:5" x14ac:dyDescent="0.35">
      <c r="B717" s="1"/>
      <c r="E717" s="2"/>
    </row>
    <row r="718" spans="2:5" x14ac:dyDescent="0.35">
      <c r="B718" s="1"/>
      <c r="E718" s="2"/>
    </row>
    <row r="719" spans="2:5" x14ac:dyDescent="0.35">
      <c r="B719" s="1"/>
    </row>
    <row r="720" spans="2:5" x14ac:dyDescent="0.35">
      <c r="B720" s="1"/>
      <c r="E720" s="2"/>
    </row>
    <row r="721" spans="2:5" x14ac:dyDescent="0.35">
      <c r="B721" s="1"/>
    </row>
    <row r="722" spans="2:5" x14ac:dyDescent="0.35">
      <c r="B722" s="1"/>
    </row>
    <row r="723" spans="2:5" x14ac:dyDescent="0.35">
      <c r="B723" s="1"/>
      <c r="E723" s="2"/>
    </row>
    <row r="724" spans="2:5" x14ac:dyDescent="0.35">
      <c r="B724" s="1"/>
    </row>
    <row r="725" spans="2:5" x14ac:dyDescent="0.35">
      <c r="B725" s="1"/>
      <c r="E725" s="2"/>
    </row>
    <row r="726" spans="2:5" x14ac:dyDescent="0.35">
      <c r="B726" s="1"/>
      <c r="E726" s="2"/>
    </row>
    <row r="727" spans="2:5" x14ac:dyDescent="0.35">
      <c r="B727" s="1"/>
    </row>
    <row r="728" spans="2:5" x14ac:dyDescent="0.35">
      <c r="B728" s="1"/>
    </row>
    <row r="729" spans="2:5" x14ac:dyDescent="0.35">
      <c r="B729" s="1"/>
      <c r="E729" s="2"/>
    </row>
    <row r="730" spans="2:5" x14ac:dyDescent="0.35">
      <c r="B730" s="1"/>
    </row>
    <row r="731" spans="2:5" x14ac:dyDescent="0.35">
      <c r="B731" s="1"/>
    </row>
    <row r="732" spans="2:5" x14ac:dyDescent="0.35">
      <c r="B732" s="1"/>
    </row>
    <row r="733" spans="2:5" x14ac:dyDescent="0.35">
      <c r="B733" s="1"/>
      <c r="E733" s="2"/>
    </row>
    <row r="734" spans="2:5" x14ac:dyDescent="0.35">
      <c r="B734" s="1"/>
      <c r="E734" s="2"/>
    </row>
    <row r="735" spans="2:5" x14ac:dyDescent="0.35">
      <c r="B735" s="1"/>
      <c r="E735" s="2"/>
    </row>
    <row r="736" spans="2:5" x14ac:dyDescent="0.35">
      <c r="B736" s="1"/>
      <c r="E736" s="2"/>
    </row>
    <row r="737" spans="2:5" x14ac:dyDescent="0.35">
      <c r="B737" s="1"/>
    </row>
    <row r="738" spans="2:5" x14ac:dyDescent="0.35">
      <c r="B738" s="1"/>
      <c r="E738" s="2"/>
    </row>
    <row r="739" spans="2:5" x14ac:dyDescent="0.35">
      <c r="B739" s="1"/>
    </row>
    <row r="740" spans="2:5" x14ac:dyDescent="0.35">
      <c r="B740" s="1"/>
    </row>
    <row r="741" spans="2:5" x14ac:dyDescent="0.35">
      <c r="B741" s="1"/>
      <c r="E741" s="2"/>
    </row>
    <row r="742" spans="2:5" x14ac:dyDescent="0.35">
      <c r="B742" s="1"/>
    </row>
    <row r="743" spans="2:5" x14ac:dyDescent="0.35">
      <c r="B743" s="1"/>
      <c r="E743" s="2"/>
    </row>
    <row r="744" spans="2:5" x14ac:dyDescent="0.35">
      <c r="B744" s="1"/>
    </row>
    <row r="745" spans="2:5" x14ac:dyDescent="0.35">
      <c r="B745" s="1"/>
      <c r="E745" s="2"/>
    </row>
    <row r="746" spans="2:5" x14ac:dyDescent="0.35">
      <c r="B746" s="1"/>
      <c r="E746" s="2"/>
    </row>
    <row r="747" spans="2:5" x14ac:dyDescent="0.35">
      <c r="B747" s="1"/>
      <c r="E747" s="2"/>
    </row>
    <row r="748" spans="2:5" x14ac:dyDescent="0.35">
      <c r="B748" s="1"/>
      <c r="E748" s="2"/>
    </row>
    <row r="749" spans="2:5" x14ac:dyDescent="0.35">
      <c r="B749" s="1"/>
      <c r="E749" s="2"/>
    </row>
    <row r="750" spans="2:5" x14ac:dyDescent="0.35">
      <c r="B750" s="1"/>
    </row>
    <row r="751" spans="2:5" x14ac:dyDescent="0.35">
      <c r="B751" s="1"/>
      <c r="E751" s="2"/>
    </row>
    <row r="752" spans="2:5" x14ac:dyDescent="0.35">
      <c r="B752" s="1"/>
    </row>
    <row r="753" spans="2:5" x14ac:dyDescent="0.35">
      <c r="B753" s="1"/>
      <c r="E753" s="2"/>
    </row>
    <row r="754" spans="2:5" x14ac:dyDescent="0.35">
      <c r="B754" s="1"/>
    </row>
    <row r="755" spans="2:5" x14ac:dyDescent="0.35">
      <c r="B755" s="1"/>
      <c r="E755" s="2"/>
    </row>
    <row r="756" spans="2:5" x14ac:dyDescent="0.35">
      <c r="B756" s="1"/>
    </row>
    <row r="757" spans="2:5" x14ac:dyDescent="0.35">
      <c r="B757" s="1"/>
      <c r="E757" s="2"/>
    </row>
    <row r="758" spans="2:5" x14ac:dyDescent="0.35">
      <c r="B758" s="1"/>
    </row>
    <row r="759" spans="2:5" x14ac:dyDescent="0.35">
      <c r="B759" s="1"/>
      <c r="E759" s="2"/>
    </row>
    <row r="760" spans="2:5" x14ac:dyDescent="0.35">
      <c r="B760" s="1"/>
    </row>
    <row r="761" spans="2:5" x14ac:dyDescent="0.35">
      <c r="B761" s="1"/>
      <c r="E761" s="2"/>
    </row>
    <row r="762" spans="2:5" x14ac:dyDescent="0.35">
      <c r="B762" s="1"/>
      <c r="E762" s="2"/>
    </row>
    <row r="763" spans="2:5" x14ac:dyDescent="0.35">
      <c r="B763" s="1"/>
      <c r="E763" s="2"/>
    </row>
    <row r="764" spans="2:5" x14ac:dyDescent="0.35">
      <c r="B764" s="1"/>
    </row>
    <row r="765" spans="2:5" x14ac:dyDescent="0.35">
      <c r="B765" s="1"/>
      <c r="E765" s="2"/>
    </row>
    <row r="766" spans="2:5" x14ac:dyDescent="0.35">
      <c r="B766" s="1"/>
      <c r="E766" s="2"/>
    </row>
    <row r="767" spans="2:5" x14ac:dyDescent="0.35">
      <c r="B767" s="1"/>
      <c r="E767" s="2"/>
    </row>
    <row r="768" spans="2:5" x14ac:dyDescent="0.35">
      <c r="B768" s="1"/>
      <c r="E768" s="2"/>
    </row>
    <row r="769" spans="2:5" x14ac:dyDescent="0.35">
      <c r="B769" s="1"/>
      <c r="E769" s="2"/>
    </row>
    <row r="770" spans="2:5" x14ac:dyDescent="0.35">
      <c r="B770" s="1"/>
      <c r="E770" s="2"/>
    </row>
    <row r="771" spans="2:5" x14ac:dyDescent="0.35">
      <c r="B771" s="1"/>
    </row>
    <row r="772" spans="2:5" x14ac:dyDescent="0.35">
      <c r="B772" s="1"/>
      <c r="E772" s="2"/>
    </row>
    <row r="773" spans="2:5" x14ac:dyDescent="0.35">
      <c r="B773" s="1"/>
      <c r="E773" s="2"/>
    </row>
    <row r="774" spans="2:5" x14ac:dyDescent="0.35">
      <c r="B774" s="1"/>
      <c r="E774" s="2"/>
    </row>
    <row r="775" spans="2:5" x14ac:dyDescent="0.35">
      <c r="B775" s="1"/>
    </row>
    <row r="776" spans="2:5" x14ac:dyDescent="0.35">
      <c r="B776" s="1"/>
      <c r="E776" s="2"/>
    </row>
    <row r="777" spans="2:5" x14ac:dyDescent="0.35">
      <c r="B777" s="1"/>
      <c r="E777" s="2"/>
    </row>
    <row r="778" spans="2:5" x14ac:dyDescent="0.35">
      <c r="B778" s="1"/>
    </row>
    <row r="779" spans="2:5" x14ac:dyDescent="0.35">
      <c r="B779" s="1"/>
    </row>
    <row r="780" spans="2:5" x14ac:dyDescent="0.35">
      <c r="B780" s="1"/>
      <c r="E780" s="2"/>
    </row>
    <row r="781" spans="2:5" x14ac:dyDescent="0.35">
      <c r="B781" s="1"/>
      <c r="E781" s="2"/>
    </row>
    <row r="782" spans="2:5" x14ac:dyDescent="0.35">
      <c r="B782" s="1"/>
      <c r="E782" s="2"/>
    </row>
    <row r="783" spans="2:5" x14ac:dyDescent="0.35">
      <c r="B783" s="1"/>
    </row>
    <row r="784" spans="2:5" x14ac:dyDescent="0.35">
      <c r="B784" s="1"/>
      <c r="E784" s="2"/>
    </row>
    <row r="785" spans="2:5" x14ac:dyDescent="0.35">
      <c r="B785" s="1"/>
    </row>
    <row r="786" spans="2:5" x14ac:dyDescent="0.35">
      <c r="B786" s="1"/>
    </row>
    <row r="787" spans="2:5" x14ac:dyDescent="0.35">
      <c r="B787" s="1"/>
    </row>
    <row r="788" spans="2:5" x14ac:dyDescent="0.35">
      <c r="B788" s="1"/>
      <c r="E788" s="2"/>
    </row>
    <row r="789" spans="2:5" x14ac:dyDescent="0.35">
      <c r="B789" s="1"/>
      <c r="E789" s="2"/>
    </row>
    <row r="790" spans="2:5" x14ac:dyDescent="0.35">
      <c r="B790" s="1"/>
    </row>
    <row r="791" spans="2:5" x14ac:dyDescent="0.35">
      <c r="B791" s="1"/>
    </row>
    <row r="792" spans="2:5" x14ac:dyDescent="0.35">
      <c r="B792" s="1"/>
    </row>
    <row r="793" spans="2:5" x14ac:dyDescent="0.35">
      <c r="B793" s="1"/>
      <c r="E793" s="2"/>
    </row>
    <row r="794" spans="2:5" x14ac:dyDescent="0.35">
      <c r="B794" s="1"/>
      <c r="E794" s="2"/>
    </row>
    <row r="795" spans="2:5" x14ac:dyDescent="0.35">
      <c r="B795" s="1"/>
    </row>
    <row r="796" spans="2:5" x14ac:dyDescent="0.35">
      <c r="B796" s="1"/>
    </row>
    <row r="797" spans="2:5" x14ac:dyDescent="0.35">
      <c r="B797" s="1"/>
      <c r="E797" s="2"/>
    </row>
    <row r="798" spans="2:5" x14ac:dyDescent="0.35">
      <c r="B798" s="1"/>
      <c r="E798" s="2"/>
    </row>
    <row r="799" spans="2:5" x14ac:dyDescent="0.35">
      <c r="B799" s="1"/>
      <c r="E799" s="2"/>
    </row>
    <row r="800" spans="2:5" x14ac:dyDescent="0.35">
      <c r="B800" s="1"/>
    </row>
    <row r="801" spans="2:5" x14ac:dyDescent="0.35">
      <c r="B801" s="1"/>
      <c r="E801" s="2"/>
    </row>
    <row r="802" spans="2:5" x14ac:dyDescent="0.35">
      <c r="B802" s="1"/>
    </row>
    <row r="803" spans="2:5" x14ac:dyDescent="0.35">
      <c r="B803" s="1"/>
      <c r="E803" s="2"/>
    </row>
    <row r="804" spans="2:5" x14ac:dyDescent="0.35">
      <c r="B804" s="1"/>
    </row>
    <row r="805" spans="2:5" x14ac:dyDescent="0.35">
      <c r="B805" s="1"/>
      <c r="E805" s="2"/>
    </row>
    <row r="806" spans="2:5" x14ac:dyDescent="0.35">
      <c r="B806" s="1"/>
      <c r="E806" s="2"/>
    </row>
    <row r="807" spans="2:5" x14ac:dyDescent="0.35">
      <c r="B807" s="1"/>
    </row>
    <row r="808" spans="2:5" x14ac:dyDescent="0.35">
      <c r="B808" s="1"/>
    </row>
    <row r="809" spans="2:5" x14ac:dyDescent="0.35">
      <c r="B809" s="1"/>
    </row>
    <row r="810" spans="2:5" x14ac:dyDescent="0.35">
      <c r="B810" s="1"/>
      <c r="E810" s="2"/>
    </row>
    <row r="811" spans="2:5" x14ac:dyDescent="0.35">
      <c r="B811" s="1"/>
      <c r="E811" s="2"/>
    </row>
    <row r="812" spans="2:5" x14ac:dyDescent="0.35">
      <c r="B812" s="1"/>
      <c r="E812" s="2"/>
    </row>
    <row r="813" spans="2:5" x14ac:dyDescent="0.35">
      <c r="B813" s="1"/>
    </row>
    <row r="814" spans="2:5" x14ac:dyDescent="0.35">
      <c r="B814" s="1"/>
    </row>
    <row r="815" spans="2:5" x14ac:dyDescent="0.35">
      <c r="B815" s="1"/>
    </row>
    <row r="816" spans="2:5" x14ac:dyDescent="0.35">
      <c r="B816" s="1"/>
    </row>
    <row r="817" spans="2:5" x14ac:dyDescent="0.35">
      <c r="B817" s="1"/>
      <c r="E817" s="2"/>
    </row>
    <row r="818" spans="2:5" x14ac:dyDescent="0.35">
      <c r="B818" s="1"/>
      <c r="E818" s="2"/>
    </row>
    <row r="819" spans="2:5" x14ac:dyDescent="0.35">
      <c r="B819" s="1"/>
      <c r="E819" s="2"/>
    </row>
    <row r="820" spans="2:5" x14ac:dyDescent="0.35">
      <c r="B820" s="1"/>
    </row>
    <row r="821" spans="2:5" x14ac:dyDescent="0.35">
      <c r="B821" s="1"/>
      <c r="E821" s="2"/>
    </row>
    <row r="822" spans="2:5" x14ac:dyDescent="0.35">
      <c r="B822" s="1"/>
    </row>
    <row r="823" spans="2:5" x14ac:dyDescent="0.35">
      <c r="B823" s="1"/>
    </row>
    <row r="824" spans="2:5" x14ac:dyDescent="0.35">
      <c r="B824" s="1"/>
    </row>
    <row r="825" spans="2:5" x14ac:dyDescent="0.35">
      <c r="B825" s="1"/>
    </row>
    <row r="826" spans="2:5" x14ac:dyDescent="0.35">
      <c r="B826" s="1"/>
      <c r="E826" s="2"/>
    </row>
    <row r="827" spans="2:5" x14ac:dyDescent="0.35">
      <c r="B827" s="1"/>
      <c r="E827" s="2"/>
    </row>
    <row r="828" spans="2:5" x14ac:dyDescent="0.35">
      <c r="B828" s="1"/>
      <c r="E828" s="2"/>
    </row>
    <row r="829" spans="2:5" x14ac:dyDescent="0.35">
      <c r="B829" s="1"/>
      <c r="E829" s="2"/>
    </row>
    <row r="830" spans="2:5" x14ac:dyDescent="0.35">
      <c r="B830" s="1"/>
      <c r="E830" s="2"/>
    </row>
    <row r="831" spans="2:5" x14ac:dyDescent="0.35">
      <c r="B831" s="1"/>
      <c r="E831" s="2"/>
    </row>
    <row r="832" spans="2:5" x14ac:dyDescent="0.35">
      <c r="B832" s="1"/>
      <c r="E832" s="2"/>
    </row>
    <row r="833" spans="2:5" x14ac:dyDescent="0.35">
      <c r="B833" s="1"/>
      <c r="E833" s="2"/>
    </row>
    <row r="834" spans="2:5" x14ac:dyDescent="0.35">
      <c r="B834" s="1"/>
      <c r="E834" s="2"/>
    </row>
    <row r="835" spans="2:5" x14ac:dyDescent="0.35">
      <c r="B835" s="1"/>
    </row>
    <row r="836" spans="2:5" x14ac:dyDescent="0.35">
      <c r="B836" s="1"/>
      <c r="E836" s="2"/>
    </row>
    <row r="837" spans="2:5" x14ac:dyDescent="0.35">
      <c r="B837" s="1"/>
      <c r="E837" s="2"/>
    </row>
    <row r="838" spans="2:5" x14ac:dyDescent="0.35">
      <c r="B838" s="1"/>
    </row>
    <row r="839" spans="2:5" x14ac:dyDescent="0.35">
      <c r="B839" s="1"/>
      <c r="E839" s="2"/>
    </row>
    <row r="840" spans="2:5" x14ac:dyDescent="0.35">
      <c r="B840" s="1"/>
      <c r="E840" s="2"/>
    </row>
    <row r="841" spans="2:5" x14ac:dyDescent="0.35">
      <c r="B841" s="1"/>
      <c r="E841" s="2"/>
    </row>
    <row r="842" spans="2:5" x14ac:dyDescent="0.35">
      <c r="B842" s="1"/>
    </row>
    <row r="843" spans="2:5" x14ac:dyDescent="0.35">
      <c r="B843" s="1"/>
      <c r="E843" s="2"/>
    </row>
    <row r="844" spans="2:5" x14ac:dyDescent="0.35">
      <c r="B844" s="1"/>
      <c r="E844" s="2"/>
    </row>
    <row r="845" spans="2:5" x14ac:dyDescent="0.35">
      <c r="B845" s="1"/>
      <c r="E845" s="2"/>
    </row>
    <row r="846" spans="2:5" x14ac:dyDescent="0.35">
      <c r="B846" s="1"/>
      <c r="E846" s="2"/>
    </row>
    <row r="847" spans="2:5" x14ac:dyDescent="0.35">
      <c r="B847" s="1"/>
    </row>
    <row r="848" spans="2:5" x14ac:dyDescent="0.35">
      <c r="B848" s="1"/>
    </row>
    <row r="849" spans="2:5" x14ac:dyDescent="0.35">
      <c r="B849" s="1"/>
      <c r="E849" s="2"/>
    </row>
    <row r="850" spans="2:5" x14ac:dyDescent="0.35">
      <c r="B850" s="1"/>
    </row>
    <row r="851" spans="2:5" x14ac:dyDescent="0.35">
      <c r="B851" s="1"/>
    </row>
    <row r="852" spans="2:5" x14ac:dyDescent="0.35">
      <c r="B852" s="1"/>
    </row>
    <row r="853" spans="2:5" x14ac:dyDescent="0.35">
      <c r="B853" s="1"/>
    </row>
    <row r="854" spans="2:5" x14ac:dyDescent="0.35">
      <c r="B854" s="1"/>
      <c r="E854" s="2"/>
    </row>
    <row r="855" spans="2:5" x14ac:dyDescent="0.35">
      <c r="B855" s="1"/>
      <c r="E855" s="2"/>
    </row>
    <row r="856" spans="2:5" x14ac:dyDescent="0.35">
      <c r="B856" s="1"/>
    </row>
    <row r="857" spans="2:5" x14ac:dyDescent="0.35">
      <c r="B857" s="1"/>
      <c r="E857" s="2"/>
    </row>
    <row r="858" spans="2:5" x14ac:dyDescent="0.35">
      <c r="B858" s="1"/>
      <c r="E858" s="2"/>
    </row>
    <row r="859" spans="2:5" x14ac:dyDescent="0.35">
      <c r="B859" s="1"/>
    </row>
    <row r="860" spans="2:5" x14ac:dyDescent="0.35">
      <c r="B860" s="1"/>
    </row>
    <row r="861" spans="2:5" x14ac:dyDescent="0.35">
      <c r="B861" s="1"/>
    </row>
    <row r="862" spans="2:5" x14ac:dyDescent="0.35">
      <c r="B862" s="1"/>
    </row>
    <row r="863" spans="2:5" x14ac:dyDescent="0.35">
      <c r="B863" s="1"/>
    </row>
    <row r="864" spans="2:5" x14ac:dyDescent="0.35">
      <c r="B864" s="1"/>
      <c r="E864" s="2"/>
    </row>
    <row r="865" spans="2:5" x14ac:dyDescent="0.35">
      <c r="B865" s="1"/>
    </row>
    <row r="866" spans="2:5" x14ac:dyDescent="0.35">
      <c r="B866" s="1"/>
      <c r="E866" s="2"/>
    </row>
    <row r="867" spans="2:5" x14ac:dyDescent="0.35">
      <c r="B867" s="1"/>
      <c r="E867" s="2"/>
    </row>
    <row r="868" spans="2:5" x14ac:dyDescent="0.35">
      <c r="B868" s="1"/>
      <c r="E868" s="2"/>
    </row>
    <row r="869" spans="2:5" x14ac:dyDescent="0.35">
      <c r="B869" s="1"/>
    </row>
    <row r="870" spans="2:5" x14ac:dyDescent="0.35">
      <c r="B870" s="1"/>
      <c r="E870" s="2"/>
    </row>
    <row r="871" spans="2:5" x14ac:dyDescent="0.35">
      <c r="B871" s="1"/>
      <c r="E871" s="2"/>
    </row>
    <row r="872" spans="2:5" x14ac:dyDescent="0.35">
      <c r="B872" s="1"/>
    </row>
    <row r="873" spans="2:5" x14ac:dyDescent="0.35">
      <c r="B873" s="1"/>
    </row>
    <row r="874" spans="2:5" x14ac:dyDescent="0.35">
      <c r="B874" s="1"/>
      <c r="E874" s="2"/>
    </row>
    <row r="875" spans="2:5" x14ac:dyDescent="0.35">
      <c r="B875" s="1"/>
      <c r="E875" s="2"/>
    </row>
    <row r="876" spans="2:5" x14ac:dyDescent="0.35">
      <c r="B876" s="1"/>
      <c r="E876" s="2"/>
    </row>
    <row r="877" spans="2:5" x14ac:dyDescent="0.35">
      <c r="B877" s="1"/>
    </row>
    <row r="878" spans="2:5" x14ac:dyDescent="0.35">
      <c r="B878" s="1"/>
    </row>
    <row r="879" spans="2:5" x14ac:dyDescent="0.35">
      <c r="B879" s="1"/>
      <c r="E879" s="2"/>
    </row>
    <row r="880" spans="2:5" x14ac:dyDescent="0.35">
      <c r="B880" s="1"/>
      <c r="E880" s="2"/>
    </row>
    <row r="881" spans="2:5" x14ac:dyDescent="0.35">
      <c r="B881" s="1"/>
    </row>
    <row r="882" spans="2:5" x14ac:dyDescent="0.35">
      <c r="B882" s="1"/>
      <c r="E882" s="2"/>
    </row>
    <row r="883" spans="2:5" x14ac:dyDescent="0.35">
      <c r="B883" s="1"/>
    </row>
    <row r="884" spans="2:5" x14ac:dyDescent="0.35">
      <c r="B884" s="1"/>
      <c r="E884" s="2"/>
    </row>
    <row r="885" spans="2:5" x14ac:dyDescent="0.35">
      <c r="B885" s="1"/>
    </row>
    <row r="886" spans="2:5" x14ac:dyDescent="0.35">
      <c r="B886" s="1"/>
    </row>
    <row r="887" spans="2:5" x14ac:dyDescent="0.35">
      <c r="B887" s="1"/>
      <c r="E887" s="2"/>
    </row>
    <row r="888" spans="2:5" x14ac:dyDescent="0.35">
      <c r="B888" s="1"/>
    </row>
    <row r="889" spans="2:5" x14ac:dyDescent="0.35">
      <c r="B889" s="1"/>
      <c r="E889" s="2"/>
    </row>
    <row r="890" spans="2:5" x14ac:dyDescent="0.35">
      <c r="B890" s="1"/>
      <c r="E890" s="2"/>
    </row>
    <row r="891" spans="2:5" x14ac:dyDescent="0.35">
      <c r="B891" s="1"/>
    </row>
    <row r="892" spans="2:5" x14ac:dyDescent="0.35">
      <c r="B892" s="1"/>
      <c r="E892" s="2"/>
    </row>
    <row r="893" spans="2:5" x14ac:dyDescent="0.35">
      <c r="B893" s="1"/>
    </row>
    <row r="894" spans="2:5" x14ac:dyDescent="0.35">
      <c r="B894" s="1"/>
      <c r="E894" s="2"/>
    </row>
    <row r="895" spans="2:5" x14ac:dyDescent="0.35">
      <c r="B895" s="1"/>
      <c r="E895" s="2"/>
    </row>
    <row r="896" spans="2:5" x14ac:dyDescent="0.35">
      <c r="B896" s="1"/>
      <c r="E896" s="2"/>
    </row>
    <row r="897" spans="2:5" x14ac:dyDescent="0.35">
      <c r="B897" s="1"/>
      <c r="E897" s="2"/>
    </row>
    <row r="898" spans="2:5" x14ac:dyDescent="0.35">
      <c r="B898" s="1"/>
    </row>
    <row r="899" spans="2:5" x14ac:dyDescent="0.35">
      <c r="B899" s="1"/>
    </row>
    <row r="900" spans="2:5" x14ac:dyDescent="0.35">
      <c r="B900" s="1"/>
      <c r="E900" s="2"/>
    </row>
    <row r="901" spans="2:5" x14ac:dyDescent="0.35">
      <c r="B901" s="1"/>
      <c r="E901" s="2"/>
    </row>
    <row r="902" spans="2:5" x14ac:dyDescent="0.35">
      <c r="B902" s="1"/>
    </row>
    <row r="903" spans="2:5" x14ac:dyDescent="0.35">
      <c r="B903" s="1"/>
    </row>
    <row r="904" spans="2:5" x14ac:dyDescent="0.35">
      <c r="B904" s="1"/>
      <c r="E904" s="2"/>
    </row>
    <row r="905" spans="2:5" x14ac:dyDescent="0.35">
      <c r="B905" s="1"/>
      <c r="E905" s="2"/>
    </row>
    <row r="906" spans="2:5" x14ac:dyDescent="0.35">
      <c r="B906" s="1"/>
    </row>
    <row r="907" spans="2:5" x14ac:dyDescent="0.35">
      <c r="B907" s="1"/>
    </row>
    <row r="908" spans="2:5" x14ac:dyDescent="0.35">
      <c r="B908" s="1"/>
    </row>
    <row r="909" spans="2:5" x14ac:dyDescent="0.35">
      <c r="B909" s="1"/>
      <c r="E909" s="2"/>
    </row>
    <row r="910" spans="2:5" x14ac:dyDescent="0.35">
      <c r="B910" s="1"/>
    </row>
    <row r="911" spans="2:5" x14ac:dyDescent="0.35">
      <c r="B911" s="1"/>
    </row>
    <row r="912" spans="2:5" x14ac:dyDescent="0.35">
      <c r="B912" s="1"/>
    </row>
    <row r="913" spans="2:5" x14ac:dyDescent="0.35">
      <c r="B913" s="1"/>
    </row>
    <row r="914" spans="2:5" x14ac:dyDescent="0.35">
      <c r="B914" s="1"/>
    </row>
    <row r="915" spans="2:5" x14ac:dyDescent="0.35">
      <c r="B915" s="1"/>
      <c r="E915" s="2"/>
    </row>
    <row r="916" spans="2:5" x14ac:dyDescent="0.35">
      <c r="B916" s="1"/>
      <c r="E916" s="2"/>
    </row>
    <row r="917" spans="2:5" x14ac:dyDescent="0.35">
      <c r="B917" s="1"/>
    </row>
    <row r="918" spans="2:5" x14ac:dyDescent="0.35">
      <c r="B918" s="1"/>
    </row>
    <row r="919" spans="2:5" x14ac:dyDescent="0.35">
      <c r="B919" s="1"/>
      <c r="E919" s="2"/>
    </row>
    <row r="920" spans="2:5" x14ac:dyDescent="0.35">
      <c r="B920" s="1"/>
      <c r="E920" s="2"/>
    </row>
    <row r="921" spans="2:5" x14ac:dyDescent="0.35">
      <c r="B921" s="1"/>
      <c r="E921" s="2"/>
    </row>
    <row r="922" spans="2:5" x14ac:dyDescent="0.35">
      <c r="B922" s="1"/>
      <c r="E922" s="2"/>
    </row>
    <row r="923" spans="2:5" x14ac:dyDescent="0.35">
      <c r="B923" s="1"/>
      <c r="E923" s="2"/>
    </row>
    <row r="924" spans="2:5" x14ac:dyDescent="0.35">
      <c r="B924" s="1"/>
      <c r="E924" s="2"/>
    </row>
    <row r="925" spans="2:5" x14ac:dyDescent="0.35">
      <c r="B925" s="1"/>
    </row>
    <row r="926" spans="2:5" x14ac:dyDescent="0.35">
      <c r="B926" s="1"/>
    </row>
    <row r="927" spans="2:5" x14ac:dyDescent="0.35">
      <c r="B927" s="1"/>
      <c r="E927" s="2"/>
    </row>
    <row r="928" spans="2:5" x14ac:dyDescent="0.35">
      <c r="B928" s="1"/>
    </row>
    <row r="929" spans="2:5" x14ac:dyDescent="0.35">
      <c r="B929" s="1"/>
    </row>
    <row r="930" spans="2:5" x14ac:dyDescent="0.35">
      <c r="B930" s="1"/>
    </row>
    <row r="931" spans="2:5" x14ac:dyDescent="0.35">
      <c r="B931" s="1"/>
    </row>
    <row r="932" spans="2:5" x14ac:dyDescent="0.35">
      <c r="B932" s="1"/>
    </row>
    <row r="933" spans="2:5" x14ac:dyDescent="0.35">
      <c r="B933" s="1"/>
      <c r="E933" s="2"/>
    </row>
    <row r="934" spans="2:5" x14ac:dyDescent="0.35">
      <c r="B934" s="1"/>
      <c r="E934" s="2"/>
    </row>
    <row r="935" spans="2:5" x14ac:dyDescent="0.35">
      <c r="B935" s="1"/>
      <c r="E935" s="2"/>
    </row>
    <row r="936" spans="2:5" x14ac:dyDescent="0.35">
      <c r="B936" s="1"/>
    </row>
    <row r="937" spans="2:5" x14ac:dyDescent="0.35">
      <c r="B937" s="1"/>
      <c r="E937" s="2"/>
    </row>
    <row r="938" spans="2:5" x14ac:dyDescent="0.35">
      <c r="B938" s="1"/>
    </row>
    <row r="939" spans="2:5" x14ac:dyDescent="0.35">
      <c r="B939" s="1"/>
      <c r="E939" s="2"/>
    </row>
    <row r="940" spans="2:5" x14ac:dyDescent="0.35">
      <c r="B940" s="1"/>
    </row>
    <row r="941" spans="2:5" x14ac:dyDescent="0.35">
      <c r="B941" s="1"/>
    </row>
    <row r="942" spans="2:5" x14ac:dyDescent="0.35">
      <c r="B942" s="1"/>
    </row>
    <row r="943" spans="2:5" x14ac:dyDescent="0.35">
      <c r="B943" s="1"/>
      <c r="E943" s="2"/>
    </row>
    <row r="944" spans="2:5" x14ac:dyDescent="0.35">
      <c r="B944" s="1"/>
      <c r="E944" s="2"/>
    </row>
    <row r="945" spans="2:5" x14ac:dyDescent="0.35">
      <c r="B945" s="1"/>
    </row>
    <row r="946" spans="2:5" x14ac:dyDescent="0.35">
      <c r="B946" s="1"/>
      <c r="E946" s="2"/>
    </row>
    <row r="947" spans="2:5" x14ac:dyDescent="0.35">
      <c r="B947" s="1"/>
    </row>
    <row r="948" spans="2:5" x14ac:dyDescent="0.35">
      <c r="B948" s="1"/>
      <c r="E948" s="2"/>
    </row>
    <row r="949" spans="2:5" x14ac:dyDescent="0.35">
      <c r="B949" s="1"/>
    </row>
    <row r="950" spans="2:5" x14ac:dyDescent="0.35">
      <c r="B950" s="1"/>
    </row>
    <row r="951" spans="2:5" x14ac:dyDescent="0.35">
      <c r="B951" s="1"/>
      <c r="E951" s="2"/>
    </row>
    <row r="952" spans="2:5" x14ac:dyDescent="0.35">
      <c r="B952" s="1"/>
      <c r="E952" s="2"/>
    </row>
    <row r="953" spans="2:5" x14ac:dyDescent="0.35">
      <c r="B953" s="1"/>
    </row>
    <row r="954" spans="2:5" x14ac:dyDescent="0.35">
      <c r="B954" s="1"/>
      <c r="E954" s="2"/>
    </row>
    <row r="955" spans="2:5" x14ac:dyDescent="0.35">
      <c r="B955" s="1"/>
    </row>
    <row r="956" spans="2:5" x14ac:dyDescent="0.35">
      <c r="B956" s="1"/>
      <c r="E956" s="2"/>
    </row>
    <row r="957" spans="2:5" x14ac:dyDescent="0.35">
      <c r="B957" s="1"/>
      <c r="E957" s="2"/>
    </row>
    <row r="958" spans="2:5" x14ac:dyDescent="0.35">
      <c r="B958" s="1"/>
      <c r="E958" s="2"/>
    </row>
    <row r="959" spans="2:5" x14ac:dyDescent="0.35">
      <c r="B959" s="1"/>
      <c r="E959" s="2"/>
    </row>
    <row r="960" spans="2:5" x14ac:dyDescent="0.35">
      <c r="B960" s="1"/>
    </row>
    <row r="961" spans="2:5" x14ac:dyDescent="0.35">
      <c r="B961" s="1"/>
      <c r="E961" s="2"/>
    </row>
    <row r="962" spans="2:5" x14ac:dyDescent="0.35">
      <c r="B962" s="1"/>
    </row>
    <row r="963" spans="2:5" x14ac:dyDescent="0.35">
      <c r="B963" s="1"/>
      <c r="E963" s="2"/>
    </row>
    <row r="964" spans="2:5" x14ac:dyDescent="0.35">
      <c r="B964" s="1"/>
    </row>
    <row r="965" spans="2:5" x14ac:dyDescent="0.35">
      <c r="B965" s="1"/>
      <c r="E965" s="2"/>
    </row>
    <row r="966" spans="2:5" x14ac:dyDescent="0.35">
      <c r="B966" s="1"/>
    </row>
    <row r="967" spans="2:5" x14ac:dyDescent="0.35">
      <c r="B967" s="1"/>
      <c r="E967" s="2"/>
    </row>
    <row r="968" spans="2:5" x14ac:dyDescent="0.35">
      <c r="B968" s="1"/>
    </row>
    <row r="969" spans="2:5" x14ac:dyDescent="0.35">
      <c r="B969" s="1"/>
      <c r="E969" s="2"/>
    </row>
    <row r="970" spans="2:5" x14ac:dyDescent="0.35">
      <c r="B970" s="1"/>
    </row>
    <row r="971" spans="2:5" x14ac:dyDescent="0.35">
      <c r="B971" s="1"/>
      <c r="E971" s="2"/>
    </row>
    <row r="972" spans="2:5" x14ac:dyDescent="0.35">
      <c r="B972" s="1"/>
      <c r="E972" s="2"/>
    </row>
    <row r="973" spans="2:5" x14ac:dyDescent="0.35">
      <c r="B973" s="1"/>
      <c r="E973" s="2"/>
    </row>
    <row r="974" spans="2:5" x14ac:dyDescent="0.35">
      <c r="B974" s="1"/>
    </row>
    <row r="975" spans="2:5" x14ac:dyDescent="0.35">
      <c r="B975" s="1"/>
      <c r="E975" s="2"/>
    </row>
    <row r="976" spans="2:5" x14ac:dyDescent="0.35">
      <c r="B976" s="1"/>
      <c r="E976" s="2"/>
    </row>
    <row r="977" spans="2:5" x14ac:dyDescent="0.35">
      <c r="B977" s="1"/>
    </row>
    <row r="978" spans="2:5" x14ac:dyDescent="0.35">
      <c r="B978" s="1"/>
    </row>
    <row r="979" spans="2:5" x14ac:dyDescent="0.35">
      <c r="B979" s="1"/>
    </row>
    <row r="980" spans="2:5" x14ac:dyDescent="0.35">
      <c r="B980" s="1"/>
      <c r="E980" s="2"/>
    </row>
    <row r="981" spans="2:5" x14ac:dyDescent="0.35">
      <c r="B981" s="1"/>
      <c r="E981" s="2"/>
    </row>
    <row r="982" spans="2:5" x14ac:dyDescent="0.35">
      <c r="B982" s="1"/>
      <c r="E982" s="2"/>
    </row>
    <row r="983" spans="2:5" x14ac:dyDescent="0.35">
      <c r="B983" s="1"/>
      <c r="E983" s="2"/>
    </row>
    <row r="984" spans="2:5" x14ac:dyDescent="0.35">
      <c r="B984" s="1"/>
      <c r="E984" s="2"/>
    </row>
    <row r="985" spans="2:5" x14ac:dyDescent="0.35">
      <c r="B985" s="1"/>
      <c r="E985" s="2"/>
    </row>
    <row r="986" spans="2:5" x14ac:dyDescent="0.35">
      <c r="B986" s="1"/>
      <c r="E986" s="2"/>
    </row>
    <row r="987" spans="2:5" x14ac:dyDescent="0.35">
      <c r="B987" s="1"/>
      <c r="E987" s="2"/>
    </row>
    <row r="988" spans="2:5" x14ac:dyDescent="0.35">
      <c r="B988" s="1"/>
      <c r="E988" s="2"/>
    </row>
    <row r="989" spans="2:5" x14ac:dyDescent="0.35">
      <c r="B989" s="1"/>
      <c r="E989" s="2"/>
    </row>
    <row r="990" spans="2:5" x14ac:dyDescent="0.35">
      <c r="B990" s="1"/>
    </row>
    <row r="991" spans="2:5" x14ac:dyDescent="0.35">
      <c r="B991" s="1"/>
    </row>
    <row r="992" spans="2:5" x14ac:dyDescent="0.35">
      <c r="B992" s="1"/>
      <c r="E992" s="2"/>
    </row>
    <row r="993" spans="2:5" x14ac:dyDescent="0.35">
      <c r="B993" s="1"/>
    </row>
    <row r="994" spans="2:5" x14ac:dyDescent="0.35">
      <c r="B994" s="1"/>
    </row>
    <row r="995" spans="2:5" x14ac:dyDescent="0.35">
      <c r="B995" s="1"/>
    </row>
    <row r="996" spans="2:5" x14ac:dyDescent="0.35">
      <c r="B996" s="1"/>
      <c r="E996" s="2"/>
    </row>
    <row r="997" spans="2:5" x14ac:dyDescent="0.35">
      <c r="B997" s="1"/>
    </row>
    <row r="998" spans="2:5" x14ac:dyDescent="0.35">
      <c r="B998" s="1"/>
      <c r="E998" s="2"/>
    </row>
    <row r="999" spans="2:5" x14ac:dyDescent="0.35">
      <c r="B999" s="1"/>
    </row>
    <row r="1000" spans="2:5" x14ac:dyDescent="0.35">
      <c r="B1000" s="1"/>
      <c r="E1000" s="2"/>
    </row>
    <row r="1001" spans="2:5" x14ac:dyDescent="0.35">
      <c r="B1001" s="1"/>
    </row>
    <row r="1002" spans="2:5" x14ac:dyDescent="0.35">
      <c r="B1002" s="1"/>
    </row>
    <row r="1003" spans="2:5" x14ac:dyDescent="0.35">
      <c r="B1003" s="1"/>
    </row>
    <row r="1004" spans="2:5" x14ac:dyDescent="0.35">
      <c r="B1004" s="1"/>
    </row>
    <row r="1005" spans="2:5" x14ac:dyDescent="0.35">
      <c r="B1005" s="1"/>
    </row>
    <row r="1006" spans="2:5" x14ac:dyDescent="0.35">
      <c r="B1006" s="1"/>
    </row>
    <row r="1007" spans="2:5" x14ac:dyDescent="0.35">
      <c r="B1007" s="1"/>
    </row>
    <row r="1008" spans="2:5" x14ac:dyDescent="0.35">
      <c r="B1008" s="1"/>
      <c r="E1008" s="2"/>
    </row>
    <row r="1009" spans="2:5" x14ac:dyDescent="0.35">
      <c r="B1009" s="1"/>
    </row>
    <row r="1010" spans="2:5" x14ac:dyDescent="0.35">
      <c r="B1010" s="1"/>
      <c r="E1010" s="2"/>
    </row>
    <row r="1011" spans="2:5" x14ac:dyDescent="0.35">
      <c r="B1011" s="1"/>
      <c r="E1011" s="2"/>
    </row>
    <row r="1012" spans="2:5" x14ac:dyDescent="0.35">
      <c r="B1012" s="1"/>
    </row>
    <row r="1013" spans="2:5" x14ac:dyDescent="0.35">
      <c r="B1013" s="1"/>
      <c r="E1013" s="2"/>
    </row>
    <row r="1014" spans="2:5" x14ac:dyDescent="0.35">
      <c r="B1014" s="1"/>
    </row>
    <row r="1015" spans="2:5" x14ac:dyDescent="0.35">
      <c r="B1015" s="1"/>
    </row>
    <row r="1016" spans="2:5" x14ac:dyDescent="0.35">
      <c r="B1016" s="1"/>
    </row>
    <row r="1017" spans="2:5" x14ac:dyDescent="0.35">
      <c r="B1017" s="1"/>
      <c r="E1017" s="2"/>
    </row>
    <row r="1018" spans="2:5" x14ac:dyDescent="0.35">
      <c r="B1018" s="1"/>
      <c r="E1018" s="2"/>
    </row>
    <row r="1019" spans="2:5" x14ac:dyDescent="0.35">
      <c r="B1019" s="1"/>
    </row>
    <row r="1020" spans="2:5" x14ac:dyDescent="0.35">
      <c r="B1020" s="1"/>
    </row>
    <row r="1021" spans="2:5" x14ac:dyDescent="0.35">
      <c r="B1021" s="1"/>
    </row>
    <row r="1022" spans="2:5" x14ac:dyDescent="0.35">
      <c r="B1022" s="1"/>
      <c r="E1022" s="2"/>
    </row>
    <row r="1023" spans="2:5" x14ac:dyDescent="0.35">
      <c r="B1023" s="1"/>
      <c r="E1023" s="2"/>
    </row>
    <row r="1024" spans="2:5" x14ac:dyDescent="0.35">
      <c r="B1024" s="1"/>
      <c r="E1024" s="2"/>
    </row>
    <row r="1025" spans="2:5" x14ac:dyDescent="0.35">
      <c r="B1025" s="1"/>
      <c r="E1025" s="2"/>
    </row>
    <row r="1026" spans="2:5" x14ac:dyDescent="0.35">
      <c r="B1026" s="1"/>
      <c r="E1026" s="2"/>
    </row>
    <row r="1027" spans="2:5" x14ac:dyDescent="0.35">
      <c r="B1027" s="1"/>
      <c r="E1027" s="2"/>
    </row>
    <row r="1028" spans="2:5" x14ac:dyDescent="0.35">
      <c r="B1028" s="1"/>
      <c r="E1028" s="2"/>
    </row>
    <row r="1029" spans="2:5" x14ac:dyDescent="0.35">
      <c r="B1029" s="1"/>
      <c r="E1029" s="2"/>
    </row>
    <row r="1030" spans="2:5" x14ac:dyDescent="0.35">
      <c r="B1030" s="1"/>
    </row>
    <row r="1031" spans="2:5" x14ac:dyDescent="0.35">
      <c r="B1031" s="1"/>
      <c r="E1031" s="2"/>
    </row>
    <row r="1032" spans="2:5" x14ac:dyDescent="0.35">
      <c r="B1032" s="1"/>
    </row>
    <row r="1033" spans="2:5" x14ac:dyDescent="0.35">
      <c r="B1033" s="1"/>
    </row>
    <row r="1034" spans="2:5" x14ac:dyDescent="0.35">
      <c r="B1034" s="1"/>
    </row>
    <row r="1035" spans="2:5" x14ac:dyDescent="0.35">
      <c r="B1035" s="1"/>
    </row>
    <row r="1036" spans="2:5" x14ac:dyDescent="0.35">
      <c r="B1036" s="1"/>
    </row>
    <row r="1037" spans="2:5" x14ac:dyDescent="0.35">
      <c r="B1037" s="1"/>
    </row>
    <row r="1038" spans="2:5" x14ac:dyDescent="0.35">
      <c r="B1038" s="1"/>
      <c r="E1038" s="2"/>
    </row>
    <row r="1039" spans="2:5" x14ac:dyDescent="0.35">
      <c r="B1039" s="1"/>
      <c r="E1039" s="2"/>
    </row>
    <row r="1040" spans="2:5" x14ac:dyDescent="0.35">
      <c r="B1040" s="1"/>
    </row>
    <row r="1041" spans="2:5" x14ac:dyDescent="0.35">
      <c r="B1041" s="1"/>
      <c r="E1041" s="2"/>
    </row>
    <row r="1042" spans="2:5" x14ac:dyDescent="0.35">
      <c r="B1042" s="1"/>
    </row>
    <row r="1043" spans="2:5" x14ac:dyDescent="0.35">
      <c r="B1043" s="1"/>
      <c r="E1043" s="2"/>
    </row>
    <row r="1044" spans="2:5" x14ac:dyDescent="0.35">
      <c r="B1044" s="1"/>
    </row>
    <row r="1045" spans="2:5" x14ac:dyDescent="0.35">
      <c r="B1045" s="1"/>
      <c r="E1045" s="2"/>
    </row>
    <row r="1046" spans="2:5" x14ac:dyDescent="0.35">
      <c r="B1046" s="1"/>
      <c r="E1046" s="2"/>
    </row>
    <row r="1047" spans="2:5" x14ac:dyDescent="0.35">
      <c r="B1047" s="1"/>
      <c r="E1047" s="2"/>
    </row>
    <row r="1048" spans="2:5" x14ac:dyDescent="0.35">
      <c r="B1048" s="1"/>
      <c r="E1048" s="2"/>
    </row>
    <row r="1049" spans="2:5" x14ac:dyDescent="0.35">
      <c r="B1049" s="1"/>
      <c r="E1049" s="2"/>
    </row>
    <row r="1050" spans="2:5" x14ac:dyDescent="0.35">
      <c r="B1050" s="1"/>
      <c r="E1050" s="2"/>
    </row>
    <row r="1051" spans="2:5" x14ac:dyDescent="0.35">
      <c r="B1051" s="1"/>
    </row>
    <row r="1052" spans="2:5" x14ac:dyDescent="0.35">
      <c r="B1052" s="1"/>
      <c r="E1052" s="2"/>
    </row>
    <row r="1053" spans="2:5" x14ac:dyDescent="0.35">
      <c r="B1053" s="1"/>
      <c r="E1053" s="2"/>
    </row>
    <row r="1054" spans="2:5" x14ac:dyDescent="0.35">
      <c r="B1054" s="1"/>
      <c r="E1054" s="2"/>
    </row>
    <row r="1055" spans="2:5" x14ac:dyDescent="0.35">
      <c r="B1055" s="1"/>
      <c r="E1055" s="2"/>
    </row>
    <row r="1056" spans="2:5" x14ac:dyDescent="0.35">
      <c r="B1056" s="1"/>
      <c r="E1056" s="2"/>
    </row>
    <row r="1057" spans="2:5" x14ac:dyDescent="0.35">
      <c r="B1057" s="1"/>
      <c r="E1057" s="2"/>
    </row>
    <row r="1058" spans="2:5" x14ac:dyDescent="0.35">
      <c r="B1058" s="1"/>
      <c r="E1058" s="2"/>
    </row>
    <row r="1059" spans="2:5" x14ac:dyDescent="0.35">
      <c r="B1059" s="1"/>
    </row>
    <row r="1060" spans="2:5" x14ac:dyDescent="0.35">
      <c r="B1060" s="1"/>
    </row>
    <row r="1061" spans="2:5" x14ac:dyDescent="0.35">
      <c r="B1061" s="1"/>
      <c r="E1061" s="2"/>
    </row>
    <row r="1062" spans="2:5" x14ac:dyDescent="0.35">
      <c r="B1062" s="1"/>
    </row>
    <row r="1063" spans="2:5" x14ac:dyDescent="0.35">
      <c r="B1063" s="1"/>
      <c r="E1063" s="2"/>
    </row>
    <row r="1064" spans="2:5" x14ac:dyDescent="0.35">
      <c r="B1064" s="1"/>
      <c r="E1064" s="2"/>
    </row>
    <row r="1065" spans="2:5" x14ac:dyDescent="0.35">
      <c r="B1065" s="1"/>
      <c r="E1065" s="2"/>
    </row>
    <row r="1066" spans="2:5" x14ac:dyDescent="0.35">
      <c r="B1066" s="1"/>
    </row>
    <row r="1067" spans="2:5" x14ac:dyDescent="0.35">
      <c r="B1067" s="1"/>
      <c r="E1067" s="2"/>
    </row>
    <row r="1068" spans="2:5" x14ac:dyDescent="0.35">
      <c r="B1068" s="1"/>
      <c r="E1068" s="2"/>
    </row>
    <row r="1069" spans="2:5" x14ac:dyDescent="0.35">
      <c r="B1069" s="1"/>
      <c r="E1069" s="2"/>
    </row>
    <row r="1070" spans="2:5" x14ac:dyDescent="0.35">
      <c r="B1070" s="1"/>
    </row>
    <row r="1071" spans="2:5" x14ac:dyDescent="0.35">
      <c r="B1071" s="1"/>
      <c r="E1071" s="2"/>
    </row>
    <row r="1072" spans="2:5" x14ac:dyDescent="0.35">
      <c r="B1072" s="1"/>
    </row>
    <row r="1073" spans="2:5" x14ac:dyDescent="0.35">
      <c r="B1073" s="1"/>
      <c r="E1073" s="2"/>
    </row>
    <row r="1074" spans="2:5" x14ac:dyDescent="0.35">
      <c r="B1074" s="1"/>
      <c r="E1074" s="2"/>
    </row>
    <row r="1075" spans="2:5" x14ac:dyDescent="0.35">
      <c r="B1075" s="1"/>
    </row>
    <row r="1076" spans="2:5" x14ac:dyDescent="0.35">
      <c r="B1076" s="1"/>
    </row>
    <row r="1077" spans="2:5" x14ac:dyDescent="0.35">
      <c r="B1077" s="1"/>
    </row>
    <row r="1078" spans="2:5" x14ac:dyDescent="0.35">
      <c r="B1078" s="1"/>
      <c r="E1078" s="2"/>
    </row>
    <row r="1079" spans="2:5" x14ac:dyDescent="0.35">
      <c r="B1079" s="1"/>
    </row>
    <row r="1080" spans="2:5" x14ac:dyDescent="0.35">
      <c r="B1080" s="1"/>
      <c r="E1080" s="2"/>
    </row>
    <row r="1081" spans="2:5" x14ac:dyDescent="0.35">
      <c r="B1081" s="1"/>
      <c r="E1081" s="2"/>
    </row>
    <row r="1082" spans="2:5" x14ac:dyDescent="0.35">
      <c r="B1082" s="1"/>
    </row>
    <row r="1083" spans="2:5" x14ac:dyDescent="0.35">
      <c r="B1083" s="1"/>
    </row>
    <row r="1084" spans="2:5" x14ac:dyDescent="0.35">
      <c r="B1084" s="1"/>
    </row>
    <row r="1085" spans="2:5" x14ac:dyDescent="0.35">
      <c r="B1085" s="1"/>
      <c r="E1085" s="2"/>
    </row>
    <row r="1086" spans="2:5" x14ac:dyDescent="0.35">
      <c r="B1086" s="1"/>
    </row>
    <row r="1087" spans="2:5" x14ac:dyDescent="0.35">
      <c r="B1087" s="1"/>
      <c r="E1087" s="2"/>
    </row>
    <row r="1088" spans="2:5" x14ac:dyDescent="0.35">
      <c r="B1088" s="1"/>
      <c r="E1088" s="2"/>
    </row>
    <row r="1089" spans="2:5" x14ac:dyDescent="0.35">
      <c r="B1089" s="1"/>
      <c r="E1089" s="2"/>
    </row>
    <row r="1090" spans="2:5" x14ac:dyDescent="0.35">
      <c r="B1090" s="1"/>
    </row>
    <row r="1091" spans="2:5" x14ac:dyDescent="0.35">
      <c r="B1091" s="1"/>
      <c r="E1091" s="2"/>
    </row>
    <row r="1092" spans="2:5" x14ac:dyDescent="0.35">
      <c r="B1092" s="1"/>
      <c r="E1092" s="2"/>
    </row>
    <row r="1093" spans="2:5" x14ac:dyDescent="0.35">
      <c r="B1093" s="1"/>
      <c r="E1093" s="2"/>
    </row>
    <row r="1094" spans="2:5" x14ac:dyDescent="0.35">
      <c r="B1094" s="1"/>
    </row>
    <row r="1095" spans="2:5" x14ac:dyDescent="0.35">
      <c r="B1095" s="1"/>
    </row>
    <row r="1096" spans="2:5" x14ac:dyDescent="0.35">
      <c r="B1096" s="1"/>
    </row>
    <row r="1097" spans="2:5" x14ac:dyDescent="0.35">
      <c r="B1097" s="1"/>
    </row>
    <row r="1098" spans="2:5" x14ac:dyDescent="0.35">
      <c r="B1098" s="1"/>
    </row>
    <row r="1099" spans="2:5" x14ac:dyDescent="0.35">
      <c r="B1099" s="1"/>
      <c r="E1099" s="2"/>
    </row>
    <row r="1100" spans="2:5" x14ac:dyDescent="0.35">
      <c r="B1100" s="1"/>
    </row>
    <row r="1101" spans="2:5" x14ac:dyDescent="0.35">
      <c r="B1101" s="1"/>
    </row>
    <row r="1102" spans="2:5" x14ac:dyDescent="0.35">
      <c r="B1102" s="1"/>
      <c r="E1102" s="2"/>
    </row>
    <row r="1103" spans="2:5" x14ac:dyDescent="0.35">
      <c r="B1103" s="1"/>
    </row>
    <row r="1104" spans="2:5" x14ac:dyDescent="0.35">
      <c r="B1104" s="1"/>
      <c r="E1104" s="2"/>
    </row>
    <row r="1105" spans="2:5" x14ac:dyDescent="0.35">
      <c r="B1105" s="1"/>
      <c r="E1105" s="2"/>
    </row>
    <row r="1106" spans="2:5" x14ac:dyDescent="0.35">
      <c r="B1106" s="1"/>
      <c r="E1106" s="2"/>
    </row>
    <row r="1107" spans="2:5" x14ac:dyDescent="0.35">
      <c r="B1107" s="1"/>
    </row>
    <row r="1108" spans="2:5" x14ac:dyDescent="0.35">
      <c r="B1108" s="1"/>
      <c r="E1108" s="2"/>
    </row>
    <row r="1109" spans="2:5" x14ac:dyDescent="0.35">
      <c r="B1109" s="1"/>
      <c r="E1109" s="2"/>
    </row>
    <row r="1110" spans="2:5" x14ac:dyDescent="0.35">
      <c r="B1110" s="1"/>
      <c r="E1110" s="2"/>
    </row>
    <row r="1111" spans="2:5" x14ac:dyDescent="0.35">
      <c r="B1111" s="1"/>
      <c r="E1111" s="2"/>
    </row>
    <row r="1112" spans="2:5" x14ac:dyDescent="0.35">
      <c r="B1112" s="1"/>
    </row>
    <row r="1113" spans="2:5" x14ac:dyDescent="0.35">
      <c r="B1113" s="1"/>
      <c r="E1113" s="2"/>
    </row>
    <row r="1114" spans="2:5" x14ac:dyDescent="0.35">
      <c r="B1114" s="1"/>
    </row>
    <row r="1115" spans="2:5" x14ac:dyDescent="0.35">
      <c r="B1115" s="1"/>
    </row>
    <row r="1116" spans="2:5" x14ac:dyDescent="0.35">
      <c r="B1116" s="1"/>
      <c r="E1116" s="2"/>
    </row>
    <row r="1117" spans="2:5" x14ac:dyDescent="0.35">
      <c r="B1117" s="1"/>
      <c r="E1117" s="2"/>
    </row>
    <row r="1118" spans="2:5" x14ac:dyDescent="0.35">
      <c r="B1118" s="1"/>
    </row>
    <row r="1119" spans="2:5" x14ac:dyDescent="0.35">
      <c r="B1119" s="1"/>
    </row>
    <row r="1120" spans="2:5" x14ac:dyDescent="0.35">
      <c r="B1120" s="1"/>
      <c r="E1120" s="2"/>
    </row>
    <row r="1121" spans="2:5" x14ac:dyDescent="0.35">
      <c r="B1121" s="1"/>
      <c r="E1121" s="2"/>
    </row>
    <row r="1122" spans="2:5" x14ac:dyDescent="0.35">
      <c r="B1122" s="1"/>
      <c r="E1122" s="2"/>
    </row>
    <row r="1123" spans="2:5" x14ac:dyDescent="0.35">
      <c r="B1123" s="1"/>
      <c r="E1123" s="2"/>
    </row>
    <row r="1124" spans="2:5" x14ac:dyDescent="0.35">
      <c r="B1124" s="1"/>
    </row>
    <row r="1125" spans="2:5" x14ac:dyDescent="0.35">
      <c r="B1125" s="1"/>
    </row>
    <row r="1126" spans="2:5" x14ac:dyDescent="0.35">
      <c r="B1126" s="1"/>
    </row>
    <row r="1127" spans="2:5" x14ac:dyDescent="0.35">
      <c r="B1127" s="1"/>
      <c r="E1127" s="2"/>
    </row>
    <row r="1128" spans="2:5" x14ac:dyDescent="0.35">
      <c r="B1128" s="1"/>
    </row>
    <row r="1129" spans="2:5" x14ac:dyDescent="0.35">
      <c r="B1129" s="1"/>
      <c r="E1129" s="2"/>
    </row>
    <row r="1130" spans="2:5" x14ac:dyDescent="0.35">
      <c r="B1130" s="1"/>
    </row>
    <row r="1131" spans="2:5" x14ac:dyDescent="0.35">
      <c r="B1131" s="1"/>
    </row>
    <row r="1132" spans="2:5" x14ac:dyDescent="0.35">
      <c r="B1132" s="1"/>
    </row>
    <row r="1133" spans="2:5" x14ac:dyDescent="0.35">
      <c r="B1133" s="1"/>
      <c r="E1133" s="2"/>
    </row>
    <row r="1134" spans="2:5" x14ac:dyDescent="0.35">
      <c r="B1134" s="1"/>
    </row>
    <row r="1135" spans="2:5" x14ac:dyDescent="0.35">
      <c r="B1135" s="1"/>
      <c r="E1135" s="2"/>
    </row>
    <row r="1136" spans="2:5" x14ac:dyDescent="0.35">
      <c r="B1136" s="1"/>
    </row>
    <row r="1137" spans="2:5" x14ac:dyDescent="0.35">
      <c r="B1137" s="1"/>
      <c r="E1137" s="2"/>
    </row>
    <row r="1138" spans="2:5" x14ac:dyDescent="0.35">
      <c r="B1138" s="1"/>
    </row>
    <row r="1139" spans="2:5" x14ac:dyDescent="0.35">
      <c r="B1139" s="1"/>
    </row>
    <row r="1140" spans="2:5" x14ac:dyDescent="0.35">
      <c r="B1140" s="1"/>
      <c r="E1140" s="2"/>
    </row>
    <row r="1141" spans="2:5" x14ac:dyDescent="0.35">
      <c r="B1141" s="1"/>
    </row>
    <row r="1142" spans="2:5" x14ac:dyDescent="0.35">
      <c r="B1142" s="1"/>
      <c r="E1142" s="2"/>
    </row>
    <row r="1143" spans="2:5" x14ac:dyDescent="0.35">
      <c r="B1143" s="1"/>
      <c r="E1143" s="2"/>
    </row>
    <row r="1144" spans="2:5" x14ac:dyDescent="0.35">
      <c r="B1144" s="1"/>
    </row>
    <row r="1145" spans="2:5" x14ac:dyDescent="0.35">
      <c r="B1145" s="1"/>
      <c r="E1145" s="2"/>
    </row>
    <row r="1146" spans="2:5" x14ac:dyDescent="0.35">
      <c r="B1146" s="1"/>
    </row>
    <row r="1147" spans="2:5" x14ac:dyDescent="0.35">
      <c r="B1147" s="1"/>
    </row>
    <row r="1148" spans="2:5" x14ac:dyDescent="0.35">
      <c r="B1148" s="1"/>
      <c r="E1148" s="2"/>
    </row>
    <row r="1149" spans="2:5" x14ac:dyDescent="0.35">
      <c r="B1149" s="1"/>
      <c r="E1149" s="2"/>
    </row>
    <row r="1150" spans="2:5" x14ac:dyDescent="0.35">
      <c r="B1150" s="1"/>
      <c r="E1150" s="2"/>
    </row>
    <row r="1151" spans="2:5" x14ac:dyDescent="0.35">
      <c r="B1151" s="1"/>
      <c r="E1151" s="2"/>
    </row>
    <row r="1152" spans="2:5" x14ac:dyDescent="0.35">
      <c r="B1152" s="1"/>
      <c r="E1152" s="2"/>
    </row>
    <row r="1153" spans="2:5" x14ac:dyDescent="0.35">
      <c r="B1153" s="1"/>
    </row>
    <row r="1154" spans="2:5" x14ac:dyDescent="0.35">
      <c r="B1154" s="1"/>
      <c r="E1154" s="2"/>
    </row>
    <row r="1155" spans="2:5" x14ac:dyDescent="0.35">
      <c r="B1155" s="1"/>
      <c r="E1155" s="2"/>
    </row>
    <row r="1156" spans="2:5" x14ac:dyDescent="0.35">
      <c r="B1156" s="1"/>
      <c r="E1156" s="2"/>
    </row>
    <row r="1157" spans="2:5" x14ac:dyDescent="0.35">
      <c r="B1157" s="1"/>
      <c r="E1157" s="2"/>
    </row>
    <row r="1158" spans="2:5" x14ac:dyDescent="0.35">
      <c r="B1158" s="1"/>
      <c r="E1158" s="2"/>
    </row>
    <row r="1159" spans="2:5" x14ac:dyDescent="0.35">
      <c r="B1159" s="1"/>
    </row>
    <row r="1160" spans="2:5" x14ac:dyDescent="0.35">
      <c r="B1160" s="1"/>
      <c r="E1160" s="2"/>
    </row>
    <row r="1161" spans="2:5" x14ac:dyDescent="0.35">
      <c r="B1161" s="1"/>
    </row>
    <row r="1162" spans="2:5" x14ac:dyDescent="0.35">
      <c r="B1162" s="1"/>
      <c r="E1162" s="2"/>
    </row>
    <row r="1163" spans="2:5" x14ac:dyDescent="0.35">
      <c r="B1163" s="1"/>
    </row>
    <row r="1164" spans="2:5" x14ac:dyDescent="0.35">
      <c r="B1164" s="1"/>
      <c r="E1164" s="2"/>
    </row>
    <row r="1165" spans="2:5" x14ac:dyDescent="0.35">
      <c r="B1165" s="1"/>
      <c r="E1165" s="2"/>
    </row>
    <row r="1166" spans="2:5" x14ac:dyDescent="0.35">
      <c r="B1166" s="1"/>
      <c r="E1166" s="2"/>
    </row>
    <row r="1167" spans="2:5" x14ac:dyDescent="0.35">
      <c r="B1167" s="1"/>
      <c r="E1167" s="2"/>
    </row>
    <row r="1168" spans="2:5" x14ac:dyDescent="0.35">
      <c r="B1168" s="1"/>
      <c r="E1168" s="2"/>
    </row>
    <row r="1169" spans="2:5" x14ac:dyDescent="0.35">
      <c r="B1169" s="1"/>
    </row>
    <row r="1170" spans="2:5" x14ac:dyDescent="0.35">
      <c r="B1170" s="1"/>
      <c r="E1170" s="2"/>
    </row>
    <row r="1171" spans="2:5" x14ac:dyDescent="0.35">
      <c r="B1171" s="1"/>
      <c r="E1171" s="2"/>
    </row>
    <row r="1172" spans="2:5" x14ac:dyDescent="0.35">
      <c r="B1172" s="1"/>
    </row>
    <row r="1173" spans="2:5" x14ac:dyDescent="0.35">
      <c r="B1173" s="1"/>
      <c r="E1173" s="2"/>
    </row>
    <row r="1174" spans="2:5" x14ac:dyDescent="0.35">
      <c r="B1174" s="1"/>
      <c r="E1174" s="2"/>
    </row>
    <row r="1175" spans="2:5" x14ac:dyDescent="0.35">
      <c r="B1175" s="1"/>
    </row>
    <row r="1176" spans="2:5" x14ac:dyDescent="0.35">
      <c r="B1176" s="1"/>
      <c r="E1176" s="2"/>
    </row>
    <row r="1177" spans="2:5" x14ac:dyDescent="0.35">
      <c r="B1177" s="1"/>
    </row>
    <row r="1178" spans="2:5" x14ac:dyDescent="0.35">
      <c r="B1178" s="1"/>
    </row>
    <row r="1179" spans="2:5" x14ac:dyDescent="0.35">
      <c r="B1179" s="1"/>
    </row>
    <row r="1180" spans="2:5" x14ac:dyDescent="0.35">
      <c r="B1180" s="1"/>
    </row>
    <row r="1181" spans="2:5" x14ac:dyDescent="0.35">
      <c r="B1181" s="1"/>
    </row>
    <row r="1182" spans="2:5" x14ac:dyDescent="0.35">
      <c r="B1182" s="1"/>
      <c r="E1182" s="2"/>
    </row>
    <row r="1183" spans="2:5" x14ac:dyDescent="0.35">
      <c r="B1183" s="1"/>
      <c r="E1183" s="2"/>
    </row>
    <row r="1184" spans="2:5" x14ac:dyDescent="0.35">
      <c r="B1184" s="1"/>
      <c r="E1184" s="2"/>
    </row>
    <row r="1185" spans="2:5" x14ac:dyDescent="0.35">
      <c r="B1185" s="1"/>
      <c r="E1185" s="2"/>
    </row>
    <row r="1186" spans="2:5" x14ac:dyDescent="0.35">
      <c r="B1186" s="1"/>
      <c r="E1186" s="2"/>
    </row>
    <row r="1187" spans="2:5" x14ac:dyDescent="0.35">
      <c r="B1187" s="1"/>
      <c r="E1187" s="2"/>
    </row>
    <row r="1188" spans="2:5" x14ac:dyDescent="0.35">
      <c r="B1188" s="1"/>
    </row>
    <row r="1189" spans="2:5" x14ac:dyDescent="0.35">
      <c r="B1189" s="1"/>
      <c r="E1189" s="2"/>
    </row>
    <row r="1190" spans="2:5" x14ac:dyDescent="0.35">
      <c r="B1190" s="1"/>
    </row>
    <row r="1191" spans="2:5" x14ac:dyDescent="0.35">
      <c r="B1191" s="1"/>
    </row>
    <row r="1192" spans="2:5" x14ac:dyDescent="0.35">
      <c r="B1192" s="1"/>
      <c r="E1192" s="2"/>
    </row>
    <row r="1193" spans="2:5" x14ac:dyDescent="0.35">
      <c r="B1193" s="1"/>
      <c r="E1193" s="2"/>
    </row>
    <row r="1194" spans="2:5" x14ac:dyDescent="0.35">
      <c r="B1194" s="1"/>
    </row>
    <row r="1195" spans="2:5" x14ac:dyDescent="0.35">
      <c r="B1195" s="1"/>
    </row>
    <row r="1196" spans="2:5" x14ac:dyDescent="0.35">
      <c r="B1196" s="1"/>
      <c r="E1196" s="2"/>
    </row>
    <row r="1197" spans="2:5" x14ac:dyDescent="0.35">
      <c r="B1197" s="1"/>
      <c r="E1197" s="2"/>
    </row>
    <row r="1198" spans="2:5" x14ac:dyDescent="0.35">
      <c r="B1198" s="1"/>
    </row>
    <row r="1199" spans="2:5" x14ac:dyDescent="0.35">
      <c r="B1199" s="1"/>
      <c r="E1199" s="2"/>
    </row>
    <row r="1200" spans="2:5" x14ac:dyDescent="0.35">
      <c r="B1200" s="1"/>
    </row>
    <row r="1201" spans="2:5" x14ac:dyDescent="0.35">
      <c r="B1201" s="1"/>
    </row>
    <row r="1202" spans="2:5" x14ac:dyDescent="0.35">
      <c r="B1202" s="1"/>
      <c r="E1202" s="2"/>
    </row>
    <row r="1203" spans="2:5" x14ac:dyDescent="0.35">
      <c r="B1203" s="1"/>
    </row>
    <row r="1204" spans="2:5" x14ac:dyDescent="0.35">
      <c r="B1204" s="1"/>
      <c r="E1204" s="2"/>
    </row>
    <row r="1205" spans="2:5" x14ac:dyDescent="0.35">
      <c r="B1205" s="1"/>
      <c r="E1205" s="2"/>
    </row>
    <row r="1206" spans="2:5" x14ac:dyDescent="0.35">
      <c r="B1206" s="1"/>
    </row>
    <row r="1207" spans="2:5" x14ac:dyDescent="0.35">
      <c r="B1207" s="1"/>
    </row>
    <row r="1208" spans="2:5" x14ac:dyDescent="0.35">
      <c r="B1208" s="1"/>
      <c r="E1208" s="2"/>
    </row>
    <row r="1209" spans="2:5" x14ac:dyDescent="0.35">
      <c r="B1209" s="1"/>
    </row>
    <row r="1210" spans="2:5" x14ac:dyDescent="0.35">
      <c r="B1210" s="1"/>
    </row>
    <row r="1211" spans="2:5" x14ac:dyDescent="0.35">
      <c r="B1211" s="1"/>
      <c r="E1211" s="2"/>
    </row>
    <row r="1212" spans="2:5" x14ac:dyDescent="0.35">
      <c r="B1212" s="1"/>
      <c r="E1212" s="2"/>
    </row>
    <row r="1213" spans="2:5" x14ac:dyDescent="0.35">
      <c r="B1213" s="1"/>
      <c r="E1213" s="2"/>
    </row>
    <row r="1214" spans="2:5" x14ac:dyDescent="0.35">
      <c r="B1214" s="1"/>
      <c r="E1214" s="2"/>
    </row>
    <row r="1215" spans="2:5" x14ac:dyDescent="0.35">
      <c r="B1215" s="1"/>
    </row>
    <row r="1216" spans="2:5" x14ac:dyDescent="0.35">
      <c r="B1216" s="1"/>
    </row>
    <row r="1217" spans="2:5" x14ac:dyDescent="0.35">
      <c r="B1217" s="1"/>
    </row>
    <row r="1218" spans="2:5" x14ac:dyDescent="0.35">
      <c r="B1218" s="1"/>
      <c r="E1218" s="2"/>
    </row>
    <row r="1219" spans="2:5" x14ac:dyDescent="0.35">
      <c r="B1219" s="1"/>
      <c r="E1219" s="2"/>
    </row>
    <row r="1220" spans="2:5" x14ac:dyDescent="0.35">
      <c r="B1220" s="1"/>
      <c r="E1220" s="2"/>
    </row>
    <row r="1221" spans="2:5" x14ac:dyDescent="0.35">
      <c r="B1221" s="1"/>
    </row>
    <row r="1222" spans="2:5" x14ac:dyDescent="0.35">
      <c r="B1222" s="1"/>
      <c r="E1222" s="2"/>
    </row>
    <row r="1223" spans="2:5" x14ac:dyDescent="0.35">
      <c r="B1223" s="1"/>
    </row>
    <row r="1224" spans="2:5" x14ac:dyDescent="0.35">
      <c r="B1224" s="1"/>
    </row>
    <row r="1225" spans="2:5" x14ac:dyDescent="0.35">
      <c r="B1225" s="1"/>
    </row>
    <row r="1226" spans="2:5" x14ac:dyDescent="0.35">
      <c r="B1226" s="1"/>
    </row>
    <row r="1227" spans="2:5" x14ac:dyDescent="0.35">
      <c r="B1227" s="1"/>
      <c r="E1227" s="2"/>
    </row>
    <row r="1228" spans="2:5" x14ac:dyDescent="0.35">
      <c r="B1228" s="1"/>
      <c r="E1228" s="2"/>
    </row>
    <row r="1229" spans="2:5" x14ac:dyDescent="0.35">
      <c r="B1229" s="1"/>
    </row>
    <row r="1230" spans="2:5" x14ac:dyDescent="0.35">
      <c r="B1230" s="1"/>
    </row>
    <row r="1231" spans="2:5" x14ac:dyDescent="0.35">
      <c r="B1231" s="1"/>
    </row>
    <row r="1232" spans="2:5" x14ac:dyDescent="0.35">
      <c r="B1232" s="1"/>
    </row>
    <row r="1233" spans="2:5" x14ac:dyDescent="0.35">
      <c r="B1233" s="1"/>
      <c r="E1233" s="2"/>
    </row>
    <row r="1234" spans="2:5" x14ac:dyDescent="0.35">
      <c r="B1234" s="1"/>
      <c r="E1234" s="2"/>
    </row>
    <row r="1235" spans="2:5" x14ac:dyDescent="0.35">
      <c r="B1235" s="1"/>
      <c r="E1235" s="2"/>
    </row>
    <row r="1236" spans="2:5" x14ac:dyDescent="0.35">
      <c r="B1236" s="1"/>
      <c r="E1236" s="2"/>
    </row>
    <row r="1237" spans="2:5" x14ac:dyDescent="0.35">
      <c r="B1237" s="1"/>
    </row>
    <row r="1238" spans="2:5" x14ac:dyDescent="0.35">
      <c r="B1238" s="1"/>
      <c r="E1238" s="2"/>
    </row>
    <row r="1239" spans="2:5" x14ac:dyDescent="0.35">
      <c r="B1239" s="1"/>
      <c r="E1239" s="2"/>
    </row>
    <row r="1240" spans="2:5" x14ac:dyDescent="0.35">
      <c r="B1240" s="1"/>
      <c r="E1240" s="2"/>
    </row>
    <row r="1241" spans="2:5" x14ac:dyDescent="0.35">
      <c r="B1241" s="1"/>
      <c r="E1241" s="2"/>
    </row>
    <row r="1242" spans="2:5" x14ac:dyDescent="0.35">
      <c r="B1242" s="1"/>
      <c r="E1242" s="2"/>
    </row>
    <row r="1243" spans="2:5" x14ac:dyDescent="0.35">
      <c r="B1243" s="1"/>
      <c r="E1243" s="2"/>
    </row>
    <row r="1244" spans="2:5" x14ac:dyDescent="0.35">
      <c r="B1244" s="1"/>
      <c r="E1244" s="2"/>
    </row>
    <row r="1245" spans="2:5" x14ac:dyDescent="0.35">
      <c r="B1245" s="1"/>
    </row>
    <row r="1246" spans="2:5" x14ac:dyDescent="0.35">
      <c r="B1246" s="1"/>
      <c r="E1246" s="2"/>
    </row>
    <row r="1247" spans="2:5" x14ac:dyDescent="0.35">
      <c r="B1247" s="1"/>
      <c r="E1247" s="2"/>
    </row>
    <row r="1248" spans="2:5" x14ac:dyDescent="0.35">
      <c r="B1248" s="1"/>
      <c r="E1248" s="2"/>
    </row>
    <row r="1249" spans="2:5" x14ac:dyDescent="0.35">
      <c r="B1249" s="1"/>
      <c r="E1249" s="2"/>
    </row>
    <row r="1250" spans="2:5" x14ac:dyDescent="0.35">
      <c r="B1250" s="1"/>
    </row>
    <row r="1251" spans="2:5" x14ac:dyDescent="0.35">
      <c r="B1251" s="1"/>
      <c r="E1251" s="2"/>
    </row>
    <row r="1252" spans="2:5" x14ac:dyDescent="0.35">
      <c r="B1252" s="1"/>
    </row>
    <row r="1253" spans="2:5" x14ac:dyDescent="0.35">
      <c r="B1253" s="1"/>
      <c r="E1253" s="2"/>
    </row>
    <row r="1254" spans="2:5" x14ac:dyDescent="0.35">
      <c r="B1254" s="1"/>
      <c r="E1254" s="2"/>
    </row>
    <row r="1255" spans="2:5" x14ac:dyDescent="0.35">
      <c r="B1255" s="1"/>
      <c r="E1255" s="2"/>
    </row>
    <row r="1256" spans="2:5" x14ac:dyDescent="0.35">
      <c r="B1256" s="1"/>
      <c r="E1256" s="2"/>
    </row>
    <row r="1257" spans="2:5" x14ac:dyDescent="0.35">
      <c r="B1257" s="1"/>
      <c r="E1257" s="2"/>
    </row>
    <row r="1258" spans="2:5" x14ac:dyDescent="0.35">
      <c r="B1258" s="1"/>
    </row>
    <row r="1259" spans="2:5" x14ac:dyDescent="0.35">
      <c r="B1259" s="1"/>
    </row>
    <row r="1260" spans="2:5" x14ac:dyDescent="0.35">
      <c r="B1260" s="1"/>
      <c r="E1260" s="2"/>
    </row>
    <row r="1261" spans="2:5" x14ac:dyDescent="0.35">
      <c r="B1261" s="1"/>
      <c r="E1261" s="2"/>
    </row>
    <row r="1262" spans="2:5" x14ac:dyDescent="0.35">
      <c r="B1262" s="1"/>
    </row>
    <row r="1263" spans="2:5" x14ac:dyDescent="0.35">
      <c r="B1263" s="1"/>
    </row>
    <row r="1264" spans="2:5" x14ac:dyDescent="0.35">
      <c r="B1264" s="1"/>
    </row>
    <row r="1265" spans="2:5" x14ac:dyDescent="0.35">
      <c r="B1265" s="1"/>
    </row>
    <row r="1266" spans="2:5" x14ac:dyDescent="0.35">
      <c r="B1266" s="1"/>
    </row>
    <row r="1267" spans="2:5" x14ac:dyDescent="0.35">
      <c r="B1267" s="1"/>
    </row>
    <row r="1268" spans="2:5" x14ac:dyDescent="0.35">
      <c r="B1268" s="1"/>
      <c r="E1268" s="2"/>
    </row>
    <row r="1269" spans="2:5" x14ac:dyDescent="0.35">
      <c r="B1269" s="1"/>
      <c r="E1269" s="2"/>
    </row>
    <row r="1270" spans="2:5" x14ac:dyDescent="0.35">
      <c r="B1270" s="1"/>
      <c r="E1270" s="2"/>
    </row>
    <row r="1271" spans="2:5" x14ac:dyDescent="0.35">
      <c r="B1271" s="1"/>
    </row>
    <row r="1272" spans="2:5" x14ac:dyDescent="0.35">
      <c r="B1272" s="1"/>
    </row>
    <row r="1273" spans="2:5" x14ac:dyDescent="0.35">
      <c r="B1273" s="1"/>
    </row>
    <row r="1274" spans="2:5" x14ac:dyDescent="0.35">
      <c r="B1274" s="1"/>
    </row>
    <row r="1275" spans="2:5" x14ac:dyDescent="0.35">
      <c r="B1275" s="1"/>
      <c r="E1275" s="2"/>
    </row>
    <row r="1276" spans="2:5" x14ac:dyDescent="0.35">
      <c r="B1276" s="1"/>
    </row>
    <row r="1277" spans="2:5" x14ac:dyDescent="0.35">
      <c r="B1277" s="1"/>
      <c r="E1277" s="2"/>
    </row>
    <row r="1278" spans="2:5" x14ac:dyDescent="0.35">
      <c r="B1278" s="1"/>
      <c r="E1278" s="2"/>
    </row>
    <row r="1279" spans="2:5" x14ac:dyDescent="0.35">
      <c r="B1279" s="1"/>
    </row>
    <row r="1280" spans="2:5" x14ac:dyDescent="0.35">
      <c r="B1280" s="1"/>
    </row>
    <row r="1281" spans="2:5" x14ac:dyDescent="0.35">
      <c r="B1281" s="1"/>
      <c r="E1281" s="2"/>
    </row>
    <row r="1282" spans="2:5" x14ac:dyDescent="0.35">
      <c r="B1282" s="1"/>
      <c r="E1282" s="2"/>
    </row>
    <row r="1283" spans="2:5" x14ac:dyDescent="0.35">
      <c r="B1283" s="1"/>
    </row>
    <row r="1284" spans="2:5" x14ac:dyDescent="0.35">
      <c r="B1284" s="1"/>
    </row>
    <row r="1285" spans="2:5" x14ac:dyDescent="0.35">
      <c r="B1285" s="1"/>
    </row>
    <row r="1286" spans="2:5" x14ac:dyDescent="0.35">
      <c r="B1286" s="1"/>
      <c r="E1286" s="2"/>
    </row>
    <row r="1287" spans="2:5" x14ac:dyDescent="0.35">
      <c r="B1287" s="1"/>
    </row>
    <row r="1288" spans="2:5" x14ac:dyDescent="0.35">
      <c r="B1288" s="1"/>
      <c r="E1288" s="2"/>
    </row>
    <row r="1289" spans="2:5" x14ac:dyDescent="0.35">
      <c r="B1289" s="1"/>
    </row>
    <row r="1290" spans="2:5" x14ac:dyDescent="0.35">
      <c r="B1290" s="1"/>
    </row>
    <row r="1291" spans="2:5" x14ac:dyDescent="0.35">
      <c r="B1291" s="1"/>
    </row>
    <row r="1292" spans="2:5" x14ac:dyDescent="0.35">
      <c r="B1292" s="1"/>
    </row>
    <row r="1293" spans="2:5" x14ac:dyDescent="0.35">
      <c r="B1293" s="1"/>
    </row>
    <row r="1294" spans="2:5" x14ac:dyDescent="0.35">
      <c r="B1294" s="1"/>
      <c r="E1294" s="2"/>
    </row>
    <row r="1295" spans="2:5" x14ac:dyDescent="0.35">
      <c r="B1295" s="1"/>
    </row>
    <row r="1296" spans="2:5" x14ac:dyDescent="0.35">
      <c r="B1296" s="1"/>
      <c r="E1296" s="2"/>
    </row>
    <row r="1297" spans="2:5" x14ac:dyDescent="0.35">
      <c r="B1297" s="1"/>
      <c r="E1297" s="2"/>
    </row>
    <row r="1298" spans="2:5" x14ac:dyDescent="0.35">
      <c r="B1298" s="1"/>
      <c r="E1298" s="2"/>
    </row>
    <row r="1299" spans="2:5" x14ac:dyDescent="0.35">
      <c r="B1299" s="1"/>
      <c r="E1299" s="2"/>
    </row>
    <row r="1300" spans="2:5" x14ac:dyDescent="0.35">
      <c r="B1300" s="1"/>
    </row>
    <row r="1301" spans="2:5" x14ac:dyDescent="0.35">
      <c r="B1301" s="1"/>
    </row>
    <row r="1302" spans="2:5" x14ac:dyDescent="0.35">
      <c r="B1302" s="1"/>
    </row>
    <row r="1303" spans="2:5" x14ac:dyDescent="0.35">
      <c r="B1303" s="1"/>
      <c r="E1303" s="2"/>
    </row>
    <row r="1304" spans="2:5" x14ac:dyDescent="0.35">
      <c r="B1304" s="1"/>
      <c r="E1304" s="2"/>
    </row>
    <row r="1305" spans="2:5" x14ac:dyDescent="0.35">
      <c r="B1305" s="1"/>
    </row>
    <row r="1306" spans="2:5" x14ac:dyDescent="0.35">
      <c r="B1306" s="1"/>
      <c r="E1306" s="2"/>
    </row>
    <row r="1307" spans="2:5" x14ac:dyDescent="0.35">
      <c r="B1307" s="1"/>
      <c r="E1307" s="2"/>
    </row>
    <row r="1308" spans="2:5" x14ac:dyDescent="0.35">
      <c r="B1308" s="1"/>
    </row>
    <row r="1309" spans="2:5" x14ac:dyDescent="0.35">
      <c r="B1309" s="1"/>
      <c r="E1309" s="2"/>
    </row>
    <row r="1310" spans="2:5" x14ac:dyDescent="0.35">
      <c r="B1310" s="1"/>
      <c r="E1310" s="2"/>
    </row>
    <row r="1311" spans="2:5" x14ac:dyDescent="0.35">
      <c r="B1311" s="1"/>
      <c r="E1311" s="2"/>
    </row>
    <row r="1312" spans="2:5" x14ac:dyDescent="0.35">
      <c r="B1312" s="1"/>
      <c r="E1312" s="2"/>
    </row>
    <row r="1313" spans="2:5" x14ac:dyDescent="0.35">
      <c r="B1313" s="1"/>
    </row>
    <row r="1314" spans="2:5" x14ac:dyDescent="0.35">
      <c r="B1314" s="1"/>
    </row>
    <row r="1315" spans="2:5" x14ac:dyDescent="0.35">
      <c r="B1315" s="1"/>
    </row>
    <row r="1316" spans="2:5" x14ac:dyDescent="0.35">
      <c r="B1316" s="1"/>
    </row>
    <row r="1317" spans="2:5" x14ac:dyDescent="0.35">
      <c r="B1317" s="1"/>
      <c r="E1317" s="2"/>
    </row>
    <row r="1318" spans="2:5" x14ac:dyDescent="0.35">
      <c r="B1318" s="1"/>
      <c r="E1318" s="2"/>
    </row>
    <row r="1319" spans="2:5" x14ac:dyDescent="0.35">
      <c r="B1319" s="1"/>
    </row>
    <row r="1320" spans="2:5" x14ac:dyDescent="0.35">
      <c r="B1320" s="1"/>
    </row>
    <row r="1321" spans="2:5" x14ac:dyDescent="0.35">
      <c r="B1321" s="1"/>
      <c r="E1321" s="2"/>
    </row>
    <row r="1322" spans="2:5" x14ac:dyDescent="0.35">
      <c r="B1322" s="1"/>
      <c r="E1322" s="2"/>
    </row>
    <row r="1323" spans="2:5" x14ac:dyDescent="0.35">
      <c r="B1323" s="1"/>
    </row>
    <row r="1324" spans="2:5" x14ac:dyDescent="0.35">
      <c r="B1324" s="1"/>
      <c r="E1324" s="2"/>
    </row>
    <row r="1325" spans="2:5" x14ac:dyDescent="0.35">
      <c r="B1325" s="1"/>
      <c r="E1325" s="2"/>
    </row>
    <row r="1326" spans="2:5" x14ac:dyDescent="0.35">
      <c r="B1326" s="1"/>
      <c r="E1326" s="2"/>
    </row>
    <row r="1327" spans="2:5" x14ac:dyDescent="0.35">
      <c r="B1327" s="1"/>
      <c r="E1327" s="2"/>
    </row>
    <row r="1328" spans="2:5" x14ac:dyDescent="0.35">
      <c r="B1328" s="1"/>
      <c r="E1328" s="2"/>
    </row>
    <row r="1329" spans="2:5" x14ac:dyDescent="0.35">
      <c r="B1329" s="1"/>
      <c r="E1329" s="2"/>
    </row>
    <row r="1330" spans="2:5" x14ac:dyDescent="0.35">
      <c r="B1330" s="1"/>
    </row>
    <row r="1331" spans="2:5" x14ac:dyDescent="0.35">
      <c r="B1331" s="1"/>
      <c r="E1331" s="2"/>
    </row>
    <row r="1332" spans="2:5" x14ac:dyDescent="0.35">
      <c r="B1332" s="1"/>
    </row>
    <row r="1333" spans="2:5" x14ac:dyDescent="0.35">
      <c r="B1333" s="1"/>
    </row>
    <row r="1334" spans="2:5" x14ac:dyDescent="0.35">
      <c r="B1334" s="1"/>
    </row>
    <row r="1335" spans="2:5" x14ac:dyDescent="0.35">
      <c r="B1335" s="1"/>
      <c r="E1335" s="2"/>
    </row>
    <row r="1336" spans="2:5" x14ac:dyDescent="0.35">
      <c r="B1336" s="1"/>
      <c r="E1336" s="2"/>
    </row>
    <row r="1337" spans="2:5" x14ac:dyDescent="0.35">
      <c r="B1337" s="1"/>
      <c r="E1337" s="2"/>
    </row>
    <row r="1338" spans="2:5" x14ac:dyDescent="0.35">
      <c r="B1338" s="1"/>
      <c r="E1338" s="2"/>
    </row>
    <row r="1339" spans="2:5" x14ac:dyDescent="0.35">
      <c r="B1339" s="1"/>
    </row>
    <row r="1340" spans="2:5" x14ac:dyDescent="0.35">
      <c r="B1340" s="1"/>
    </row>
    <row r="1341" spans="2:5" x14ac:dyDescent="0.35">
      <c r="B1341" s="1"/>
      <c r="E1341" s="2"/>
    </row>
    <row r="1342" spans="2:5" x14ac:dyDescent="0.35">
      <c r="B1342" s="1"/>
    </row>
    <row r="1343" spans="2:5" x14ac:dyDescent="0.35">
      <c r="B1343" s="1"/>
    </row>
    <row r="1344" spans="2:5" x14ac:dyDescent="0.35">
      <c r="B1344" s="1"/>
      <c r="E1344" s="2"/>
    </row>
    <row r="1345" spans="2:5" x14ac:dyDescent="0.35">
      <c r="B1345" s="1"/>
      <c r="E1345" s="2"/>
    </row>
    <row r="1346" spans="2:5" x14ac:dyDescent="0.35">
      <c r="B1346" s="1"/>
      <c r="E1346" s="2"/>
    </row>
    <row r="1347" spans="2:5" x14ac:dyDescent="0.35">
      <c r="B1347" s="1"/>
      <c r="E1347" s="2"/>
    </row>
    <row r="1348" spans="2:5" x14ac:dyDescent="0.35">
      <c r="B1348" s="1"/>
    </row>
    <row r="1349" spans="2:5" x14ac:dyDescent="0.35">
      <c r="B1349" s="1"/>
      <c r="E1349" s="2"/>
    </row>
    <row r="1350" spans="2:5" x14ac:dyDescent="0.35">
      <c r="B1350" s="1"/>
      <c r="E1350" s="2"/>
    </row>
    <row r="1351" spans="2:5" x14ac:dyDescent="0.35">
      <c r="B1351" s="1"/>
    </row>
    <row r="1352" spans="2:5" x14ac:dyDescent="0.35">
      <c r="B1352" s="1"/>
    </row>
    <row r="1353" spans="2:5" x14ac:dyDescent="0.35">
      <c r="B1353" s="1"/>
      <c r="E1353" s="2"/>
    </row>
    <row r="1354" spans="2:5" x14ac:dyDescent="0.35">
      <c r="B1354" s="1"/>
    </row>
    <row r="1355" spans="2:5" x14ac:dyDescent="0.35">
      <c r="B1355" s="1"/>
      <c r="E1355" s="2"/>
    </row>
    <row r="1356" spans="2:5" x14ac:dyDescent="0.35">
      <c r="B1356" s="1"/>
      <c r="E1356" s="2"/>
    </row>
    <row r="1357" spans="2:5" x14ac:dyDescent="0.35">
      <c r="B1357" s="1"/>
      <c r="E1357" s="2"/>
    </row>
    <row r="1358" spans="2:5" x14ac:dyDescent="0.35">
      <c r="B1358" s="1"/>
      <c r="E1358" s="2"/>
    </row>
    <row r="1359" spans="2:5" x14ac:dyDescent="0.35">
      <c r="B1359" s="1"/>
    </row>
    <row r="1360" spans="2:5" x14ac:dyDescent="0.35">
      <c r="B1360" s="1"/>
    </row>
    <row r="1361" spans="2:5" x14ac:dyDescent="0.35">
      <c r="B1361" s="1"/>
    </row>
    <row r="1362" spans="2:5" x14ac:dyDescent="0.35">
      <c r="B1362" s="1"/>
    </row>
    <row r="1363" spans="2:5" x14ac:dyDescent="0.35">
      <c r="B1363" s="1"/>
      <c r="E1363" s="2"/>
    </row>
    <row r="1364" spans="2:5" x14ac:dyDescent="0.35">
      <c r="B1364" s="1"/>
    </row>
    <row r="1365" spans="2:5" x14ac:dyDescent="0.35">
      <c r="B1365" s="1"/>
    </row>
    <row r="1366" spans="2:5" x14ac:dyDescent="0.35">
      <c r="B1366" s="1"/>
    </row>
    <row r="1367" spans="2:5" x14ac:dyDescent="0.35">
      <c r="B1367" s="1"/>
    </row>
    <row r="1368" spans="2:5" x14ac:dyDescent="0.35">
      <c r="B1368" s="1"/>
    </row>
    <row r="1369" spans="2:5" x14ac:dyDescent="0.35">
      <c r="B1369" s="1"/>
      <c r="E1369" s="2"/>
    </row>
    <row r="1370" spans="2:5" x14ac:dyDescent="0.35">
      <c r="B1370" s="1"/>
      <c r="E1370" s="2"/>
    </row>
    <row r="1371" spans="2:5" x14ac:dyDescent="0.35">
      <c r="B1371" s="1"/>
      <c r="E1371" s="2"/>
    </row>
    <row r="1372" spans="2:5" x14ac:dyDescent="0.35">
      <c r="B1372" s="1"/>
    </row>
    <row r="1373" spans="2:5" x14ac:dyDescent="0.35">
      <c r="B1373" s="1"/>
    </row>
    <row r="1374" spans="2:5" x14ac:dyDescent="0.35">
      <c r="B1374" s="1"/>
    </row>
    <row r="1375" spans="2:5" x14ac:dyDescent="0.35">
      <c r="B1375" s="1"/>
    </row>
    <row r="1376" spans="2:5" x14ac:dyDescent="0.35">
      <c r="B1376" s="1"/>
      <c r="E1376" s="2"/>
    </row>
    <row r="1377" spans="2:5" x14ac:dyDescent="0.35">
      <c r="B1377" s="1"/>
      <c r="E1377" s="2"/>
    </row>
    <row r="1378" spans="2:5" x14ac:dyDescent="0.35">
      <c r="B1378" s="1"/>
    </row>
    <row r="1379" spans="2:5" x14ac:dyDescent="0.35">
      <c r="B1379" s="1"/>
    </row>
    <row r="1380" spans="2:5" x14ac:dyDescent="0.35">
      <c r="B1380" s="1"/>
    </row>
    <row r="1381" spans="2:5" x14ac:dyDescent="0.35">
      <c r="B1381" s="1"/>
    </row>
    <row r="1382" spans="2:5" x14ac:dyDescent="0.35">
      <c r="B1382" s="1"/>
    </row>
    <row r="1383" spans="2:5" x14ac:dyDescent="0.35">
      <c r="B1383" s="1"/>
    </row>
    <row r="1384" spans="2:5" x14ac:dyDescent="0.35">
      <c r="B1384" s="1"/>
    </row>
    <row r="1385" spans="2:5" x14ac:dyDescent="0.35">
      <c r="B1385" s="1"/>
      <c r="E1385" s="2"/>
    </row>
    <row r="1386" spans="2:5" x14ac:dyDescent="0.35">
      <c r="B1386" s="1"/>
      <c r="E1386" s="2"/>
    </row>
    <row r="1387" spans="2:5" x14ac:dyDescent="0.35">
      <c r="B1387" s="1"/>
    </row>
    <row r="1388" spans="2:5" x14ac:dyDescent="0.35">
      <c r="B1388" s="1"/>
      <c r="E1388" s="2"/>
    </row>
    <row r="1389" spans="2:5" x14ac:dyDescent="0.35">
      <c r="B1389" s="1"/>
    </row>
    <row r="1390" spans="2:5" x14ac:dyDescent="0.35">
      <c r="B1390" s="1"/>
      <c r="E1390" s="2"/>
    </row>
    <row r="1391" spans="2:5" x14ac:dyDescent="0.35">
      <c r="B1391" s="1"/>
      <c r="E1391" s="2"/>
    </row>
    <row r="1392" spans="2:5" x14ac:dyDescent="0.35">
      <c r="B1392" s="1"/>
      <c r="E1392" s="2"/>
    </row>
    <row r="1393" spans="2:5" x14ac:dyDescent="0.35">
      <c r="B1393" s="1"/>
      <c r="E1393" s="2"/>
    </row>
    <row r="1394" spans="2:5" x14ac:dyDescent="0.35">
      <c r="B1394" s="1"/>
    </row>
    <row r="1395" spans="2:5" x14ac:dyDescent="0.35">
      <c r="B1395" s="1"/>
    </row>
    <row r="1396" spans="2:5" x14ac:dyDescent="0.35">
      <c r="B1396" s="1"/>
    </row>
    <row r="1397" spans="2:5" x14ac:dyDescent="0.35">
      <c r="B1397" s="1"/>
    </row>
    <row r="1398" spans="2:5" x14ac:dyDescent="0.35">
      <c r="B1398" s="1"/>
    </row>
    <row r="1399" spans="2:5" x14ac:dyDescent="0.35">
      <c r="B1399" s="1"/>
    </row>
    <row r="1400" spans="2:5" x14ac:dyDescent="0.35">
      <c r="B1400" s="1"/>
    </row>
    <row r="1401" spans="2:5" x14ac:dyDescent="0.35">
      <c r="B1401" s="1"/>
      <c r="E1401" s="2"/>
    </row>
    <row r="1402" spans="2:5" x14ac:dyDescent="0.35">
      <c r="B1402" s="1"/>
    </row>
    <row r="1403" spans="2:5" x14ac:dyDescent="0.35">
      <c r="B1403" s="1"/>
      <c r="E1403" s="2"/>
    </row>
    <row r="1404" spans="2:5" x14ac:dyDescent="0.35">
      <c r="B1404" s="1"/>
      <c r="E1404" s="2"/>
    </row>
    <row r="1405" spans="2:5" x14ac:dyDescent="0.35">
      <c r="B1405" s="1"/>
    </row>
    <row r="1406" spans="2:5" x14ac:dyDescent="0.35">
      <c r="B1406" s="1"/>
      <c r="E1406" s="2"/>
    </row>
    <row r="1407" spans="2:5" x14ac:dyDescent="0.35">
      <c r="B1407" s="1"/>
    </row>
    <row r="1408" spans="2:5" x14ac:dyDescent="0.35">
      <c r="B1408" s="1"/>
      <c r="E1408" s="2"/>
    </row>
    <row r="1409" spans="2:5" x14ac:dyDescent="0.35">
      <c r="B1409" s="1"/>
    </row>
    <row r="1410" spans="2:5" x14ac:dyDescent="0.35">
      <c r="B1410" s="1"/>
    </row>
    <row r="1411" spans="2:5" x14ac:dyDescent="0.35">
      <c r="B1411" s="1"/>
      <c r="E1411" s="2"/>
    </row>
    <row r="1412" spans="2:5" x14ac:dyDescent="0.35">
      <c r="B1412" s="1"/>
    </row>
    <row r="1413" spans="2:5" x14ac:dyDescent="0.35">
      <c r="B1413" s="1"/>
    </row>
    <row r="1414" spans="2:5" x14ac:dyDescent="0.35">
      <c r="B1414" s="1"/>
      <c r="E1414" s="2"/>
    </row>
    <row r="1415" spans="2:5" x14ac:dyDescent="0.35">
      <c r="B1415" s="1"/>
    </row>
    <row r="1416" spans="2:5" x14ac:dyDescent="0.35">
      <c r="B1416" s="1"/>
      <c r="E1416" s="2"/>
    </row>
    <row r="1417" spans="2:5" x14ac:dyDescent="0.35">
      <c r="B1417" s="1"/>
    </row>
    <row r="1418" spans="2:5" x14ac:dyDescent="0.35">
      <c r="B1418" s="1"/>
    </row>
    <row r="1419" spans="2:5" x14ac:dyDescent="0.35">
      <c r="B1419" s="1"/>
      <c r="E1419" s="2"/>
    </row>
    <row r="1420" spans="2:5" x14ac:dyDescent="0.35">
      <c r="B1420" s="1"/>
    </row>
    <row r="1421" spans="2:5" x14ac:dyDescent="0.35">
      <c r="B1421" s="1"/>
      <c r="E1421" s="2"/>
    </row>
    <row r="1422" spans="2:5" x14ac:dyDescent="0.35">
      <c r="B1422" s="1"/>
      <c r="E1422" s="2"/>
    </row>
    <row r="1423" spans="2:5" x14ac:dyDescent="0.35">
      <c r="B1423" s="1"/>
      <c r="E1423" s="2"/>
    </row>
    <row r="1424" spans="2:5" x14ac:dyDescent="0.35">
      <c r="B1424" s="1"/>
      <c r="E1424" s="2"/>
    </row>
    <row r="1425" spans="2:5" x14ac:dyDescent="0.35">
      <c r="B1425" s="1"/>
    </row>
    <row r="1426" spans="2:5" x14ac:dyDescent="0.35">
      <c r="B1426" s="1"/>
    </row>
    <row r="1427" spans="2:5" x14ac:dyDescent="0.35">
      <c r="B1427" s="1"/>
      <c r="E1427" s="2"/>
    </row>
    <row r="1428" spans="2:5" x14ac:dyDescent="0.35">
      <c r="B1428" s="1"/>
    </row>
    <row r="1429" spans="2:5" x14ac:dyDescent="0.35">
      <c r="B1429" s="1"/>
      <c r="E1429" s="2"/>
    </row>
    <row r="1430" spans="2:5" x14ac:dyDescent="0.35">
      <c r="B1430" s="1"/>
      <c r="E1430" s="2"/>
    </row>
    <row r="1431" spans="2:5" x14ac:dyDescent="0.35">
      <c r="B1431" s="1"/>
    </row>
    <row r="1432" spans="2:5" x14ac:dyDescent="0.35">
      <c r="B1432" s="1"/>
      <c r="E1432" s="2"/>
    </row>
    <row r="1433" spans="2:5" x14ac:dyDescent="0.35">
      <c r="B1433" s="1"/>
      <c r="E1433" s="2"/>
    </row>
    <row r="1434" spans="2:5" x14ac:dyDescent="0.35">
      <c r="B1434" s="1"/>
      <c r="E1434" s="2"/>
    </row>
    <row r="1435" spans="2:5" x14ac:dyDescent="0.35">
      <c r="B1435" s="1"/>
      <c r="E1435" s="2"/>
    </row>
    <row r="1436" spans="2:5" x14ac:dyDescent="0.35">
      <c r="B1436" s="1"/>
      <c r="E1436" s="2"/>
    </row>
    <row r="1437" spans="2:5" x14ac:dyDescent="0.35">
      <c r="B1437" s="1"/>
    </row>
    <row r="1438" spans="2:5" x14ac:dyDescent="0.35">
      <c r="B1438" s="1"/>
      <c r="E1438" s="2"/>
    </row>
    <row r="1439" spans="2:5" x14ac:dyDescent="0.35">
      <c r="B1439" s="1"/>
      <c r="E1439" s="2"/>
    </row>
    <row r="1440" spans="2:5" x14ac:dyDescent="0.35">
      <c r="B1440" s="1"/>
      <c r="E1440" s="2"/>
    </row>
    <row r="1441" spans="2:5" x14ac:dyDescent="0.35">
      <c r="B1441" s="1"/>
    </row>
    <row r="1442" spans="2:5" x14ac:dyDescent="0.35">
      <c r="B1442" s="1"/>
    </row>
    <row r="1443" spans="2:5" x14ac:dyDescent="0.35">
      <c r="B1443" s="1"/>
    </row>
    <row r="1444" spans="2:5" x14ac:dyDescent="0.35">
      <c r="B1444" s="1"/>
    </row>
    <row r="1445" spans="2:5" x14ac:dyDescent="0.35">
      <c r="B1445" s="1"/>
      <c r="E1445" s="2"/>
    </row>
    <row r="1446" spans="2:5" x14ac:dyDescent="0.35">
      <c r="B1446" s="1"/>
      <c r="E1446" s="2"/>
    </row>
    <row r="1447" spans="2:5" x14ac:dyDescent="0.35">
      <c r="B1447" s="1"/>
    </row>
    <row r="1448" spans="2:5" x14ac:dyDescent="0.35">
      <c r="B1448" s="1"/>
      <c r="E1448" s="2"/>
    </row>
    <row r="1449" spans="2:5" x14ac:dyDescent="0.35">
      <c r="B1449" s="1"/>
    </row>
    <row r="1450" spans="2:5" x14ac:dyDescent="0.35">
      <c r="B1450" s="1"/>
      <c r="E1450" s="2"/>
    </row>
    <row r="1451" spans="2:5" x14ac:dyDescent="0.35">
      <c r="B1451" s="1"/>
      <c r="E1451" s="2"/>
    </row>
    <row r="1452" spans="2:5" x14ac:dyDescent="0.35">
      <c r="B1452" s="1"/>
    </row>
    <row r="1453" spans="2:5" x14ac:dyDescent="0.35">
      <c r="B1453" s="1"/>
      <c r="E1453" s="2"/>
    </row>
    <row r="1454" spans="2:5" x14ac:dyDescent="0.35">
      <c r="B1454" s="1"/>
      <c r="E1454" s="2"/>
    </row>
    <row r="1455" spans="2:5" x14ac:dyDescent="0.35">
      <c r="B1455" s="1"/>
      <c r="E1455" s="2"/>
    </row>
    <row r="1456" spans="2:5" x14ac:dyDescent="0.35">
      <c r="B1456" s="1"/>
      <c r="E1456" s="2"/>
    </row>
    <row r="1457" spans="2:5" x14ac:dyDescent="0.35">
      <c r="B1457" s="1"/>
      <c r="E1457" s="2"/>
    </row>
    <row r="1458" spans="2:5" x14ac:dyDescent="0.35">
      <c r="B1458" s="1"/>
      <c r="E1458" s="2"/>
    </row>
    <row r="1459" spans="2:5" x14ac:dyDescent="0.35">
      <c r="B1459" s="1"/>
      <c r="E1459" s="2"/>
    </row>
    <row r="1460" spans="2:5" x14ac:dyDescent="0.35">
      <c r="B1460" s="1"/>
    </row>
    <row r="1461" spans="2:5" x14ac:dyDescent="0.35">
      <c r="B1461" s="1"/>
      <c r="E1461" s="2"/>
    </row>
    <row r="1462" spans="2:5" x14ac:dyDescent="0.35">
      <c r="B1462" s="1"/>
    </row>
    <row r="1463" spans="2:5" x14ac:dyDescent="0.35">
      <c r="B1463" s="1"/>
      <c r="E1463" s="2"/>
    </row>
    <row r="1464" spans="2:5" x14ac:dyDescent="0.35">
      <c r="B1464" s="1"/>
      <c r="E1464" s="2"/>
    </row>
    <row r="1465" spans="2:5" x14ac:dyDescent="0.35">
      <c r="B1465" s="1"/>
      <c r="E1465" s="2"/>
    </row>
    <row r="1466" spans="2:5" x14ac:dyDescent="0.35">
      <c r="B1466" s="1"/>
    </row>
    <row r="1467" spans="2:5" x14ac:dyDescent="0.35">
      <c r="B1467" s="1"/>
    </row>
    <row r="1468" spans="2:5" x14ac:dyDescent="0.35">
      <c r="B1468" s="1"/>
    </row>
    <row r="1469" spans="2:5" x14ac:dyDescent="0.35">
      <c r="B1469" s="1"/>
    </row>
    <row r="1470" spans="2:5" x14ac:dyDescent="0.35">
      <c r="B1470" s="1"/>
    </row>
    <row r="1471" spans="2:5" x14ac:dyDescent="0.35">
      <c r="B1471" s="1"/>
      <c r="E1471" s="2"/>
    </row>
    <row r="1472" spans="2:5" x14ac:dyDescent="0.35">
      <c r="B1472" s="1"/>
      <c r="E1472" s="2"/>
    </row>
    <row r="1473" spans="2:5" x14ac:dyDescent="0.35">
      <c r="B1473" s="1"/>
      <c r="E1473" s="2"/>
    </row>
    <row r="1474" spans="2:5" x14ac:dyDescent="0.35">
      <c r="B1474" s="1"/>
      <c r="E1474" s="2"/>
    </row>
    <row r="1475" spans="2:5" x14ac:dyDescent="0.35">
      <c r="B1475" s="1"/>
      <c r="E1475" s="2"/>
    </row>
    <row r="1476" spans="2:5" x14ac:dyDescent="0.35">
      <c r="B1476" s="1"/>
    </row>
    <row r="1477" spans="2:5" x14ac:dyDescent="0.35">
      <c r="B1477" s="1"/>
      <c r="E1477" s="2"/>
    </row>
    <row r="1478" spans="2:5" x14ac:dyDescent="0.35">
      <c r="B1478" s="1"/>
      <c r="E1478" s="2"/>
    </row>
    <row r="1479" spans="2:5" x14ac:dyDescent="0.35">
      <c r="B1479" s="1"/>
    </row>
    <row r="1480" spans="2:5" x14ac:dyDescent="0.35">
      <c r="B1480" s="1"/>
    </row>
    <row r="1481" spans="2:5" x14ac:dyDescent="0.35">
      <c r="B1481" s="1"/>
    </row>
    <row r="1482" spans="2:5" x14ac:dyDescent="0.35">
      <c r="B1482" s="1"/>
      <c r="E1482" s="2"/>
    </row>
    <row r="1483" spans="2:5" x14ac:dyDescent="0.35">
      <c r="B1483" s="1"/>
      <c r="E1483" s="2"/>
    </row>
    <row r="1484" spans="2:5" x14ac:dyDescent="0.35">
      <c r="B1484" s="1"/>
      <c r="E1484" s="2"/>
    </row>
    <row r="1485" spans="2:5" x14ac:dyDescent="0.35">
      <c r="B1485" s="1"/>
    </row>
    <row r="1486" spans="2:5" x14ac:dyDescent="0.35">
      <c r="B1486" s="1"/>
      <c r="E1486" s="2"/>
    </row>
    <row r="1487" spans="2:5" x14ac:dyDescent="0.35">
      <c r="B1487" s="1"/>
      <c r="E1487" s="2"/>
    </row>
    <row r="1488" spans="2:5" x14ac:dyDescent="0.35">
      <c r="B1488" s="1"/>
    </row>
    <row r="1489" spans="2:5" x14ac:dyDescent="0.35">
      <c r="B1489" s="1"/>
      <c r="E1489" s="2"/>
    </row>
    <row r="1490" spans="2:5" x14ac:dyDescent="0.35">
      <c r="B1490" s="1"/>
      <c r="E1490" s="2"/>
    </row>
    <row r="1491" spans="2:5" x14ac:dyDescent="0.35">
      <c r="B1491" s="1"/>
    </row>
    <row r="1492" spans="2:5" x14ac:dyDescent="0.35">
      <c r="B1492" s="1"/>
      <c r="E1492" s="2"/>
    </row>
    <row r="1493" spans="2:5" x14ac:dyDescent="0.35">
      <c r="B1493" s="1"/>
      <c r="E1493" s="2"/>
    </row>
    <row r="1494" spans="2:5" x14ac:dyDescent="0.35">
      <c r="B1494" s="1"/>
      <c r="E1494" s="2"/>
    </row>
    <row r="1495" spans="2:5" x14ac:dyDescent="0.35">
      <c r="B1495" s="1"/>
    </row>
    <row r="1496" spans="2:5" x14ac:dyDescent="0.35">
      <c r="B1496" s="1"/>
      <c r="E1496" s="2"/>
    </row>
    <row r="1497" spans="2:5" x14ac:dyDescent="0.35">
      <c r="B1497" s="1"/>
    </row>
    <row r="1498" spans="2:5" x14ac:dyDescent="0.35">
      <c r="B1498" s="1"/>
    </row>
    <row r="1499" spans="2:5" x14ac:dyDescent="0.35">
      <c r="B1499" s="1"/>
    </row>
    <row r="1500" spans="2:5" x14ac:dyDescent="0.35">
      <c r="B1500" s="1"/>
      <c r="E1500" s="2"/>
    </row>
    <row r="1501" spans="2:5" x14ac:dyDescent="0.35">
      <c r="B1501" s="1"/>
      <c r="E1501" s="2"/>
    </row>
    <row r="1502" spans="2:5" x14ac:dyDescent="0.35">
      <c r="B1502" s="1"/>
    </row>
    <row r="1503" spans="2:5" x14ac:dyDescent="0.35">
      <c r="B1503" s="1"/>
      <c r="E1503" s="2"/>
    </row>
    <row r="1504" spans="2:5" x14ac:dyDescent="0.35">
      <c r="B1504" s="1"/>
    </row>
    <row r="1505" spans="2:5" x14ac:dyDescent="0.35">
      <c r="B1505" s="1"/>
      <c r="E1505" s="2"/>
    </row>
    <row r="1506" spans="2:5" x14ac:dyDescent="0.35">
      <c r="B1506" s="1"/>
      <c r="E1506" s="2"/>
    </row>
    <row r="1507" spans="2:5" x14ac:dyDescent="0.35">
      <c r="B1507" s="1"/>
      <c r="E1507" s="2"/>
    </row>
    <row r="1508" spans="2:5" x14ac:dyDescent="0.35">
      <c r="B1508" s="1"/>
    </row>
    <row r="1509" spans="2:5" x14ac:dyDescent="0.35">
      <c r="B1509" s="1"/>
      <c r="E1509" s="2"/>
    </row>
    <row r="1510" spans="2:5" x14ac:dyDescent="0.35">
      <c r="B1510" s="1"/>
    </row>
    <row r="1511" spans="2:5" x14ac:dyDescent="0.35">
      <c r="B1511" s="1"/>
    </row>
    <row r="1512" spans="2:5" x14ac:dyDescent="0.35">
      <c r="B1512" s="1"/>
    </row>
    <row r="1513" spans="2:5" x14ac:dyDescent="0.35">
      <c r="B1513" s="1"/>
      <c r="E1513" s="2"/>
    </row>
    <row r="1514" spans="2:5" x14ac:dyDescent="0.35">
      <c r="B1514" s="1"/>
      <c r="E1514" s="2"/>
    </row>
    <row r="1515" spans="2:5" x14ac:dyDescent="0.35">
      <c r="B1515" s="1"/>
      <c r="E1515" s="2"/>
    </row>
    <row r="1516" spans="2:5" x14ac:dyDescent="0.35">
      <c r="B1516" s="1"/>
    </row>
    <row r="1517" spans="2:5" x14ac:dyDescent="0.35">
      <c r="B1517" s="1"/>
      <c r="E1517" s="2"/>
    </row>
    <row r="1518" spans="2:5" x14ac:dyDescent="0.35">
      <c r="B1518" s="1"/>
      <c r="E1518" s="2"/>
    </row>
    <row r="1519" spans="2:5" x14ac:dyDescent="0.35">
      <c r="B1519" s="1"/>
    </row>
    <row r="1520" spans="2:5" x14ac:dyDescent="0.35">
      <c r="B1520" s="1"/>
    </row>
    <row r="1521" spans="2:5" x14ac:dyDescent="0.35">
      <c r="B1521" s="1"/>
    </row>
    <row r="1522" spans="2:5" x14ac:dyDescent="0.35">
      <c r="B1522" s="1"/>
      <c r="E1522" s="2"/>
    </row>
    <row r="1523" spans="2:5" x14ac:dyDescent="0.35">
      <c r="B1523" s="1"/>
      <c r="E1523" s="2"/>
    </row>
    <row r="1524" spans="2:5" x14ac:dyDescent="0.35">
      <c r="B1524" s="1"/>
    </row>
    <row r="1525" spans="2:5" x14ac:dyDescent="0.35">
      <c r="B1525" s="1"/>
      <c r="E1525" s="2"/>
    </row>
    <row r="1526" spans="2:5" x14ac:dyDescent="0.35">
      <c r="B1526" s="1"/>
    </row>
    <row r="1527" spans="2:5" x14ac:dyDescent="0.35">
      <c r="B1527" s="1"/>
    </row>
    <row r="1528" spans="2:5" x14ac:dyDescent="0.35">
      <c r="B1528" s="1"/>
    </row>
    <row r="1529" spans="2:5" x14ac:dyDescent="0.35">
      <c r="B1529" s="1"/>
      <c r="E1529" s="2"/>
    </row>
    <row r="1530" spans="2:5" x14ac:dyDescent="0.35">
      <c r="B1530" s="1"/>
    </row>
    <row r="1531" spans="2:5" x14ac:dyDescent="0.35">
      <c r="B1531" s="1"/>
      <c r="E1531" s="2"/>
    </row>
    <row r="1532" spans="2:5" x14ac:dyDescent="0.35">
      <c r="B1532" s="1"/>
    </row>
    <row r="1533" spans="2:5" x14ac:dyDescent="0.35">
      <c r="B1533" s="1"/>
    </row>
    <row r="1534" spans="2:5" x14ac:dyDescent="0.35">
      <c r="B1534" s="1"/>
      <c r="E1534" s="2"/>
    </row>
    <row r="1535" spans="2:5" x14ac:dyDescent="0.35">
      <c r="B1535" s="1"/>
    </row>
    <row r="1536" spans="2:5" x14ac:dyDescent="0.35">
      <c r="B1536" s="1"/>
      <c r="E1536" s="2"/>
    </row>
    <row r="1537" spans="2:5" x14ac:dyDescent="0.35">
      <c r="B1537" s="1"/>
      <c r="E1537" s="2"/>
    </row>
    <row r="1538" spans="2:5" x14ac:dyDescent="0.35">
      <c r="B1538" s="1"/>
      <c r="E1538" s="2"/>
    </row>
    <row r="1539" spans="2:5" x14ac:dyDescent="0.35">
      <c r="B1539" s="1"/>
      <c r="E1539" s="2"/>
    </row>
    <row r="1540" spans="2:5" x14ac:dyDescent="0.35">
      <c r="B1540" s="1"/>
      <c r="E1540" s="2"/>
    </row>
    <row r="1541" spans="2:5" x14ac:dyDescent="0.35">
      <c r="B1541" s="1"/>
      <c r="E1541" s="2"/>
    </row>
    <row r="1542" spans="2:5" x14ac:dyDescent="0.35">
      <c r="B1542" s="1"/>
      <c r="E1542" s="2"/>
    </row>
    <row r="1543" spans="2:5" x14ac:dyDescent="0.35">
      <c r="B1543" s="1"/>
    </row>
    <row r="1544" spans="2:5" x14ac:dyDescent="0.35">
      <c r="B1544" s="1"/>
      <c r="E1544" s="2"/>
    </row>
    <row r="1545" spans="2:5" x14ac:dyDescent="0.35">
      <c r="B1545" s="1"/>
      <c r="E1545" s="2"/>
    </row>
    <row r="1546" spans="2:5" x14ac:dyDescent="0.35">
      <c r="B1546" s="1"/>
      <c r="E1546" s="2"/>
    </row>
    <row r="1547" spans="2:5" x14ac:dyDescent="0.35">
      <c r="B1547" s="1"/>
      <c r="E1547" s="2"/>
    </row>
    <row r="1548" spans="2:5" x14ac:dyDescent="0.35">
      <c r="B1548" s="1"/>
    </row>
    <row r="1549" spans="2:5" x14ac:dyDescent="0.35">
      <c r="B1549" s="1"/>
      <c r="E1549" s="2"/>
    </row>
    <row r="1550" spans="2:5" x14ac:dyDescent="0.35">
      <c r="B1550" s="1"/>
      <c r="E1550" s="2"/>
    </row>
    <row r="1551" spans="2:5" x14ac:dyDescent="0.35">
      <c r="B1551" s="1"/>
      <c r="E1551" s="2"/>
    </row>
    <row r="1552" spans="2:5" x14ac:dyDescent="0.35">
      <c r="B1552" s="1"/>
      <c r="E1552" s="2"/>
    </row>
    <row r="1553" spans="2:5" x14ac:dyDescent="0.35">
      <c r="B1553" s="1"/>
    </row>
    <row r="1554" spans="2:5" x14ac:dyDescent="0.35">
      <c r="B1554" s="1"/>
      <c r="E1554" s="2"/>
    </row>
    <row r="1555" spans="2:5" x14ac:dyDescent="0.35">
      <c r="B1555" s="1"/>
      <c r="E1555" s="2"/>
    </row>
    <row r="1556" spans="2:5" x14ac:dyDescent="0.35">
      <c r="B1556" s="1"/>
      <c r="E1556" s="2"/>
    </row>
    <row r="1557" spans="2:5" x14ac:dyDescent="0.35">
      <c r="B1557" s="1"/>
      <c r="E1557" s="2"/>
    </row>
    <row r="1558" spans="2:5" x14ac:dyDescent="0.35">
      <c r="B1558" s="1"/>
      <c r="E1558" s="2"/>
    </row>
    <row r="1559" spans="2:5" x14ac:dyDescent="0.35">
      <c r="B1559" s="1"/>
      <c r="E1559" s="2"/>
    </row>
    <row r="1560" spans="2:5" x14ac:dyDescent="0.35">
      <c r="B1560" s="1"/>
      <c r="E1560" s="2"/>
    </row>
    <row r="1561" spans="2:5" x14ac:dyDescent="0.35">
      <c r="B1561" s="1"/>
      <c r="E1561" s="2"/>
    </row>
    <row r="1562" spans="2:5" x14ac:dyDescent="0.35">
      <c r="B1562" s="1"/>
    </row>
    <row r="1563" spans="2:5" x14ac:dyDescent="0.35">
      <c r="B1563" s="1"/>
    </row>
    <row r="1564" spans="2:5" x14ac:dyDescent="0.35">
      <c r="B1564" s="1"/>
      <c r="E1564" s="2"/>
    </row>
    <row r="1565" spans="2:5" x14ac:dyDescent="0.35">
      <c r="B1565" s="1"/>
      <c r="E1565" s="2"/>
    </row>
    <row r="1566" spans="2:5" x14ac:dyDescent="0.35">
      <c r="B1566" s="1"/>
    </row>
    <row r="1567" spans="2:5" x14ac:dyDescent="0.35">
      <c r="B1567" s="1"/>
    </row>
    <row r="1568" spans="2:5" x14ac:dyDescent="0.35">
      <c r="B1568" s="1"/>
    </row>
    <row r="1569" spans="2:5" x14ac:dyDescent="0.35">
      <c r="B1569" s="1"/>
      <c r="E1569" s="2"/>
    </row>
    <row r="1570" spans="2:5" x14ac:dyDescent="0.35">
      <c r="B1570" s="1"/>
      <c r="E1570" s="2"/>
    </row>
    <row r="1571" spans="2:5" x14ac:dyDescent="0.35">
      <c r="B1571" s="1"/>
      <c r="E1571" s="2"/>
    </row>
    <row r="1572" spans="2:5" x14ac:dyDescent="0.35">
      <c r="B1572" s="1"/>
      <c r="E1572" s="2"/>
    </row>
    <row r="1573" spans="2:5" x14ac:dyDescent="0.35">
      <c r="B1573" s="1"/>
    </row>
    <row r="1574" spans="2:5" x14ac:dyDescent="0.35">
      <c r="B1574" s="1"/>
    </row>
    <row r="1575" spans="2:5" x14ac:dyDescent="0.35">
      <c r="B1575" s="1"/>
      <c r="E1575" s="2"/>
    </row>
    <row r="1576" spans="2:5" x14ac:dyDescent="0.35">
      <c r="B1576" s="1"/>
    </row>
    <row r="1577" spans="2:5" x14ac:dyDescent="0.35">
      <c r="B1577" s="1"/>
      <c r="E1577" s="2"/>
    </row>
    <row r="1578" spans="2:5" x14ac:dyDescent="0.35">
      <c r="B1578" s="1"/>
      <c r="E1578" s="2"/>
    </row>
    <row r="1579" spans="2:5" x14ac:dyDescent="0.35">
      <c r="B1579" s="1"/>
      <c r="E1579" s="2"/>
    </row>
    <row r="1580" spans="2:5" x14ac:dyDescent="0.35">
      <c r="B1580" s="1"/>
    </row>
    <row r="1581" spans="2:5" x14ac:dyDescent="0.35">
      <c r="B1581" s="1"/>
    </row>
    <row r="1582" spans="2:5" x14ac:dyDescent="0.35">
      <c r="B1582" s="1"/>
      <c r="E1582" s="2"/>
    </row>
    <row r="1583" spans="2:5" x14ac:dyDescent="0.35">
      <c r="B1583" s="1"/>
    </row>
    <row r="1584" spans="2:5" x14ac:dyDescent="0.35">
      <c r="B1584" s="1"/>
      <c r="E1584" s="2"/>
    </row>
    <row r="1585" spans="2:5" x14ac:dyDescent="0.35">
      <c r="B1585" s="1"/>
    </row>
    <row r="1586" spans="2:5" x14ac:dyDescent="0.35">
      <c r="B1586" s="1"/>
      <c r="E1586" s="2"/>
    </row>
    <row r="1587" spans="2:5" x14ac:dyDescent="0.35">
      <c r="B1587" s="1"/>
    </row>
    <row r="1588" spans="2:5" x14ac:dyDescent="0.35">
      <c r="B1588" s="1"/>
      <c r="E1588" s="2"/>
    </row>
    <row r="1589" spans="2:5" x14ac:dyDescent="0.35">
      <c r="B1589" s="1"/>
    </row>
    <row r="1590" spans="2:5" x14ac:dyDescent="0.35">
      <c r="B1590" s="1"/>
    </row>
    <row r="1591" spans="2:5" x14ac:dyDescent="0.35">
      <c r="B1591" s="1"/>
    </row>
    <row r="1592" spans="2:5" x14ac:dyDescent="0.35">
      <c r="B1592" s="1"/>
    </row>
    <row r="1593" spans="2:5" x14ac:dyDescent="0.35">
      <c r="B1593" s="1"/>
      <c r="E1593" s="2"/>
    </row>
    <row r="1594" spans="2:5" x14ac:dyDescent="0.35">
      <c r="B1594" s="1"/>
    </row>
    <row r="1595" spans="2:5" x14ac:dyDescent="0.35">
      <c r="B1595" s="1"/>
    </row>
    <row r="1596" spans="2:5" x14ac:dyDescent="0.35">
      <c r="B1596" s="1"/>
      <c r="E1596" s="2"/>
    </row>
    <row r="1597" spans="2:5" x14ac:dyDescent="0.35">
      <c r="B1597" s="1"/>
    </row>
    <row r="1598" spans="2:5" x14ac:dyDescent="0.35">
      <c r="B1598" s="1"/>
      <c r="E1598" s="2"/>
    </row>
    <row r="1599" spans="2:5" x14ac:dyDescent="0.35">
      <c r="B1599" s="1"/>
      <c r="E1599" s="2"/>
    </row>
    <row r="1600" spans="2:5" x14ac:dyDescent="0.35">
      <c r="B1600" s="1"/>
      <c r="E1600" s="2"/>
    </row>
    <row r="1601" spans="2:5" x14ac:dyDescent="0.35">
      <c r="B1601" s="1"/>
      <c r="E1601" s="2"/>
    </row>
    <row r="1602" spans="2:5" x14ac:dyDescent="0.35">
      <c r="B1602" s="1"/>
    </row>
    <row r="1603" spans="2:5" x14ac:dyDescent="0.35">
      <c r="B1603" s="1"/>
      <c r="E1603" s="2"/>
    </row>
    <row r="1604" spans="2:5" x14ac:dyDescent="0.35">
      <c r="B1604" s="1"/>
      <c r="E1604" s="2"/>
    </row>
    <row r="1605" spans="2:5" x14ac:dyDescent="0.35">
      <c r="B1605" s="1"/>
      <c r="E1605" s="2"/>
    </row>
    <row r="1606" spans="2:5" x14ac:dyDescent="0.35">
      <c r="B1606" s="1"/>
      <c r="E1606" s="2"/>
    </row>
    <row r="1607" spans="2:5" x14ac:dyDescent="0.35">
      <c r="B1607" s="1"/>
      <c r="E1607" s="2"/>
    </row>
    <row r="1608" spans="2:5" x14ac:dyDescent="0.35">
      <c r="B1608" s="1"/>
    </row>
    <row r="1609" spans="2:5" x14ac:dyDescent="0.35">
      <c r="B1609" s="1"/>
      <c r="E1609" s="2"/>
    </row>
    <row r="1610" spans="2:5" x14ac:dyDescent="0.35">
      <c r="B1610" s="1"/>
    </row>
    <row r="1611" spans="2:5" x14ac:dyDescent="0.35">
      <c r="B1611" s="1"/>
      <c r="E1611" s="2"/>
    </row>
    <row r="1612" spans="2:5" x14ac:dyDescent="0.35">
      <c r="B1612" s="1"/>
      <c r="E1612" s="2"/>
    </row>
    <row r="1613" spans="2:5" x14ac:dyDescent="0.35">
      <c r="B1613" s="1"/>
    </row>
    <row r="1614" spans="2:5" x14ac:dyDescent="0.35">
      <c r="B1614" s="1"/>
      <c r="E1614" s="2"/>
    </row>
    <row r="1615" spans="2:5" x14ac:dyDescent="0.35">
      <c r="B1615" s="1"/>
    </row>
    <row r="1616" spans="2:5" x14ac:dyDescent="0.35">
      <c r="B1616" s="1"/>
      <c r="E1616" s="2"/>
    </row>
    <row r="1617" spans="2:5" x14ac:dyDescent="0.35">
      <c r="B1617" s="1"/>
      <c r="E1617" s="2"/>
    </row>
    <row r="1618" spans="2:5" x14ac:dyDescent="0.35">
      <c r="B1618" s="1"/>
    </row>
    <row r="1619" spans="2:5" x14ac:dyDescent="0.35">
      <c r="B1619" s="1"/>
      <c r="E1619" s="2"/>
    </row>
    <row r="1620" spans="2:5" x14ac:dyDescent="0.35">
      <c r="B1620" s="1"/>
    </row>
    <row r="1621" spans="2:5" x14ac:dyDescent="0.35">
      <c r="B1621" s="1"/>
    </row>
    <row r="1622" spans="2:5" x14ac:dyDescent="0.35">
      <c r="B1622" s="1"/>
      <c r="E1622" s="2"/>
    </row>
    <row r="1623" spans="2:5" x14ac:dyDescent="0.35">
      <c r="B1623" s="1"/>
      <c r="E1623" s="2"/>
    </row>
    <row r="1624" spans="2:5" x14ac:dyDescent="0.35">
      <c r="B1624" s="1"/>
      <c r="E1624" s="2"/>
    </row>
    <row r="1625" spans="2:5" x14ac:dyDescent="0.35">
      <c r="B1625" s="1"/>
    </row>
    <row r="1626" spans="2:5" x14ac:dyDescent="0.35">
      <c r="B1626" s="1"/>
      <c r="E1626" s="2"/>
    </row>
    <row r="1627" spans="2:5" x14ac:dyDescent="0.35">
      <c r="B1627" s="1"/>
    </row>
    <row r="1628" spans="2:5" x14ac:dyDescent="0.35">
      <c r="B1628" s="1"/>
      <c r="E1628" s="2"/>
    </row>
    <row r="1629" spans="2:5" x14ac:dyDescent="0.35">
      <c r="B1629" s="1"/>
    </row>
    <row r="1630" spans="2:5" x14ac:dyDescent="0.35">
      <c r="B1630" s="1"/>
    </row>
    <row r="1631" spans="2:5" x14ac:dyDescent="0.35">
      <c r="B1631" s="1"/>
      <c r="E1631" s="2"/>
    </row>
    <row r="1632" spans="2:5" x14ac:dyDescent="0.35">
      <c r="B1632" s="1"/>
    </row>
    <row r="1633" spans="2:5" x14ac:dyDescent="0.35">
      <c r="B1633" s="1"/>
    </row>
    <row r="1634" spans="2:5" x14ac:dyDescent="0.35">
      <c r="B1634" s="1"/>
      <c r="E1634" s="2"/>
    </row>
    <row r="1635" spans="2:5" x14ac:dyDescent="0.35">
      <c r="B1635" s="1"/>
      <c r="E1635" s="2"/>
    </row>
    <row r="1636" spans="2:5" x14ac:dyDescent="0.35">
      <c r="B1636" s="1"/>
    </row>
    <row r="1637" spans="2:5" x14ac:dyDescent="0.35">
      <c r="B1637" s="1"/>
      <c r="E1637" s="2"/>
    </row>
    <row r="1638" spans="2:5" x14ac:dyDescent="0.35">
      <c r="B1638" s="1"/>
    </row>
    <row r="1639" spans="2:5" x14ac:dyDescent="0.35">
      <c r="B1639" s="1"/>
    </row>
    <row r="1640" spans="2:5" x14ac:dyDescent="0.35">
      <c r="B1640" s="1"/>
    </row>
    <row r="1641" spans="2:5" x14ac:dyDescent="0.35">
      <c r="B1641" s="1"/>
      <c r="E1641" s="2"/>
    </row>
    <row r="1642" spans="2:5" x14ac:dyDescent="0.35">
      <c r="B1642" s="1"/>
    </row>
    <row r="1643" spans="2:5" x14ac:dyDescent="0.35">
      <c r="B1643" s="1"/>
    </row>
    <row r="1644" spans="2:5" x14ac:dyDescent="0.35">
      <c r="B1644" s="1"/>
    </row>
    <row r="1645" spans="2:5" x14ac:dyDescent="0.35">
      <c r="B1645" s="1"/>
    </row>
    <row r="1646" spans="2:5" x14ac:dyDescent="0.35">
      <c r="B1646" s="1"/>
    </row>
    <row r="1647" spans="2:5" x14ac:dyDescent="0.35">
      <c r="B1647" s="1"/>
      <c r="E1647" s="2"/>
    </row>
    <row r="1648" spans="2:5" x14ac:dyDescent="0.35">
      <c r="B1648" s="1"/>
    </row>
    <row r="1649" spans="2:5" x14ac:dyDescent="0.35">
      <c r="B1649" s="1"/>
      <c r="E1649" s="2"/>
    </row>
    <row r="1650" spans="2:5" x14ac:dyDescent="0.35">
      <c r="B1650" s="1"/>
      <c r="E1650" s="2"/>
    </row>
    <row r="1651" spans="2:5" x14ac:dyDescent="0.35">
      <c r="B1651" s="1"/>
    </row>
    <row r="1652" spans="2:5" x14ac:dyDescent="0.35">
      <c r="B1652" s="1"/>
      <c r="E1652" s="2"/>
    </row>
    <row r="1653" spans="2:5" x14ac:dyDescent="0.35">
      <c r="B1653" s="1"/>
    </row>
    <row r="1654" spans="2:5" x14ac:dyDescent="0.35">
      <c r="B1654" s="1"/>
    </row>
    <row r="1655" spans="2:5" x14ac:dyDescent="0.35">
      <c r="B1655" s="1"/>
      <c r="E1655" s="2"/>
    </row>
    <row r="1656" spans="2:5" x14ac:dyDescent="0.35">
      <c r="B1656" s="1"/>
    </row>
    <row r="1657" spans="2:5" x14ac:dyDescent="0.35">
      <c r="B1657" s="1"/>
    </row>
    <row r="1658" spans="2:5" x14ac:dyDescent="0.35">
      <c r="B1658" s="1"/>
      <c r="E1658" s="2"/>
    </row>
    <row r="1659" spans="2:5" x14ac:dyDescent="0.35">
      <c r="B1659" s="1"/>
    </row>
    <row r="1660" spans="2:5" x14ac:dyDescent="0.35">
      <c r="B1660" s="1"/>
    </row>
    <row r="1661" spans="2:5" x14ac:dyDescent="0.35">
      <c r="B1661" s="1"/>
    </row>
    <row r="1662" spans="2:5" x14ac:dyDescent="0.35">
      <c r="B1662" s="1"/>
    </row>
    <row r="1663" spans="2:5" x14ac:dyDescent="0.35">
      <c r="B1663" s="1"/>
    </row>
    <row r="1664" spans="2:5" x14ac:dyDescent="0.35">
      <c r="B1664" s="1"/>
    </row>
    <row r="1665" spans="2:5" x14ac:dyDescent="0.35">
      <c r="B1665" s="1"/>
    </row>
    <row r="1666" spans="2:5" x14ac:dyDescent="0.35">
      <c r="B1666" s="1"/>
    </row>
    <row r="1667" spans="2:5" x14ac:dyDescent="0.35">
      <c r="B1667" s="1"/>
      <c r="E1667" s="2"/>
    </row>
    <row r="1668" spans="2:5" x14ac:dyDescent="0.35">
      <c r="B1668" s="1"/>
    </row>
    <row r="1669" spans="2:5" x14ac:dyDescent="0.35">
      <c r="B1669" s="1"/>
      <c r="E1669" s="2"/>
    </row>
    <row r="1670" spans="2:5" x14ac:dyDescent="0.35">
      <c r="B1670" s="1"/>
    </row>
    <row r="1671" spans="2:5" x14ac:dyDescent="0.35">
      <c r="B1671" s="1"/>
      <c r="E1671" s="2"/>
    </row>
    <row r="1672" spans="2:5" x14ac:dyDescent="0.35">
      <c r="B1672" s="1"/>
      <c r="E1672" s="2"/>
    </row>
    <row r="1673" spans="2:5" x14ac:dyDescent="0.35">
      <c r="B1673" s="1"/>
      <c r="E1673" s="2"/>
    </row>
    <row r="1674" spans="2:5" x14ac:dyDescent="0.35">
      <c r="B1674" s="1"/>
      <c r="E1674" s="2"/>
    </row>
    <row r="1675" spans="2:5" x14ac:dyDescent="0.35">
      <c r="B1675" s="1"/>
    </row>
    <row r="1676" spans="2:5" x14ac:dyDescent="0.35">
      <c r="B1676" s="1"/>
      <c r="E1676" s="2"/>
    </row>
    <row r="1677" spans="2:5" x14ac:dyDescent="0.35">
      <c r="B1677" s="1"/>
      <c r="E1677" s="2"/>
    </row>
    <row r="1678" spans="2:5" x14ac:dyDescent="0.35">
      <c r="B1678" s="1"/>
    </row>
    <row r="1679" spans="2:5" x14ac:dyDescent="0.35">
      <c r="B1679" s="1"/>
      <c r="E1679" s="2"/>
    </row>
    <row r="1680" spans="2:5" x14ac:dyDescent="0.35">
      <c r="B1680" s="1"/>
    </row>
    <row r="1681" spans="2:5" x14ac:dyDescent="0.35">
      <c r="B1681" s="1"/>
      <c r="E1681" s="2"/>
    </row>
    <row r="1682" spans="2:5" x14ac:dyDescent="0.35">
      <c r="B1682" s="1"/>
      <c r="E1682" s="2"/>
    </row>
    <row r="1683" spans="2:5" x14ac:dyDescent="0.35">
      <c r="B1683" s="1"/>
    </row>
    <row r="1684" spans="2:5" x14ac:dyDescent="0.35">
      <c r="B1684" s="1"/>
    </row>
    <row r="1685" spans="2:5" x14ac:dyDescent="0.35">
      <c r="B1685" s="1"/>
      <c r="E1685" s="2"/>
    </row>
    <row r="1686" spans="2:5" x14ac:dyDescent="0.35">
      <c r="B1686" s="1"/>
    </row>
    <row r="1687" spans="2:5" x14ac:dyDescent="0.35">
      <c r="B1687" s="1"/>
      <c r="E1687" s="2"/>
    </row>
    <row r="1688" spans="2:5" x14ac:dyDescent="0.35">
      <c r="B1688" s="1"/>
      <c r="E1688" s="2"/>
    </row>
    <row r="1689" spans="2:5" x14ac:dyDescent="0.35">
      <c r="B1689" s="1"/>
    </row>
    <row r="1690" spans="2:5" x14ac:dyDescent="0.35">
      <c r="B1690" s="1"/>
      <c r="E1690" s="2"/>
    </row>
    <row r="1691" spans="2:5" x14ac:dyDescent="0.35">
      <c r="B1691" s="1"/>
      <c r="E1691" s="2"/>
    </row>
    <row r="1692" spans="2:5" x14ac:dyDescent="0.35">
      <c r="B1692" s="1"/>
      <c r="E1692" s="2"/>
    </row>
    <row r="1693" spans="2:5" x14ac:dyDescent="0.35">
      <c r="B1693" s="1"/>
      <c r="E1693" s="2"/>
    </row>
    <row r="1694" spans="2:5" x14ac:dyDescent="0.35">
      <c r="B1694" s="1"/>
    </row>
    <row r="1695" spans="2:5" x14ac:dyDescent="0.35">
      <c r="B1695" s="1"/>
      <c r="E1695" s="2"/>
    </row>
    <row r="1696" spans="2:5" x14ac:dyDescent="0.35">
      <c r="B1696" s="1"/>
      <c r="E1696" s="2"/>
    </row>
    <row r="1697" spans="2:5" x14ac:dyDescent="0.35">
      <c r="B1697" s="1"/>
      <c r="E1697" s="2"/>
    </row>
    <row r="1698" spans="2:5" x14ac:dyDescent="0.35">
      <c r="B1698" s="1"/>
      <c r="E1698" s="2"/>
    </row>
    <row r="1699" spans="2:5" x14ac:dyDescent="0.35">
      <c r="B1699" s="1"/>
    </row>
    <row r="1700" spans="2:5" x14ac:dyDescent="0.35">
      <c r="B1700" s="1"/>
      <c r="E1700" s="2"/>
    </row>
    <row r="1701" spans="2:5" x14ac:dyDescent="0.35">
      <c r="B1701" s="1"/>
    </row>
    <row r="1702" spans="2:5" x14ac:dyDescent="0.35">
      <c r="B1702" s="1"/>
      <c r="E1702" s="2"/>
    </row>
    <row r="1703" spans="2:5" x14ac:dyDescent="0.35">
      <c r="B1703" s="1"/>
    </row>
    <row r="1704" spans="2:5" x14ac:dyDescent="0.35">
      <c r="B1704" s="1"/>
      <c r="E1704" s="2"/>
    </row>
    <row r="1705" spans="2:5" x14ac:dyDescent="0.35">
      <c r="B1705" s="1"/>
    </row>
    <row r="1706" spans="2:5" x14ac:dyDescent="0.35">
      <c r="B1706" s="1"/>
    </row>
    <row r="1707" spans="2:5" x14ac:dyDescent="0.35">
      <c r="B1707" s="1"/>
    </row>
    <row r="1708" spans="2:5" x14ac:dyDescent="0.35">
      <c r="B1708" s="1"/>
      <c r="E1708" s="2"/>
    </row>
    <row r="1709" spans="2:5" x14ac:dyDescent="0.35">
      <c r="B1709" s="1"/>
      <c r="E1709" s="2"/>
    </row>
    <row r="1710" spans="2:5" x14ac:dyDescent="0.35">
      <c r="B1710" s="1"/>
      <c r="E1710" s="2"/>
    </row>
    <row r="1711" spans="2:5" x14ac:dyDescent="0.35">
      <c r="B1711" s="1"/>
    </row>
    <row r="1712" spans="2:5" x14ac:dyDescent="0.35">
      <c r="B1712" s="1"/>
    </row>
    <row r="1713" spans="2:5" x14ac:dyDescent="0.35">
      <c r="B1713" s="1"/>
    </row>
    <row r="1714" spans="2:5" x14ac:dyDescent="0.35">
      <c r="B1714" s="1"/>
    </row>
    <row r="1715" spans="2:5" x14ac:dyDescent="0.35">
      <c r="B1715" s="1"/>
      <c r="E1715" s="2"/>
    </row>
    <row r="1716" spans="2:5" x14ac:dyDescent="0.35">
      <c r="B1716" s="1"/>
      <c r="E1716" s="2"/>
    </row>
    <row r="1717" spans="2:5" x14ac:dyDescent="0.35">
      <c r="B1717" s="1"/>
      <c r="E1717" s="2"/>
    </row>
    <row r="1718" spans="2:5" x14ac:dyDescent="0.35">
      <c r="B1718" s="1"/>
    </row>
    <row r="1719" spans="2:5" x14ac:dyDescent="0.35">
      <c r="B1719" s="1"/>
    </row>
    <row r="1720" spans="2:5" x14ac:dyDescent="0.35">
      <c r="B1720" s="1"/>
      <c r="E1720" s="2"/>
    </row>
    <row r="1721" spans="2:5" x14ac:dyDescent="0.35">
      <c r="B1721" s="1"/>
    </row>
    <row r="1722" spans="2:5" x14ac:dyDescent="0.35">
      <c r="B1722" s="1"/>
      <c r="E1722" s="2"/>
    </row>
    <row r="1723" spans="2:5" x14ac:dyDescent="0.35">
      <c r="B1723" s="1"/>
    </row>
    <row r="1724" spans="2:5" x14ac:dyDescent="0.35">
      <c r="B1724" s="1"/>
      <c r="E1724" s="2"/>
    </row>
    <row r="1725" spans="2:5" x14ac:dyDescent="0.35">
      <c r="B1725" s="1"/>
    </row>
    <row r="1726" spans="2:5" x14ac:dyDescent="0.35">
      <c r="B1726" s="1"/>
      <c r="E1726" s="2"/>
    </row>
    <row r="1727" spans="2:5" x14ac:dyDescent="0.35">
      <c r="B1727" s="1"/>
      <c r="E1727" s="2"/>
    </row>
    <row r="1728" spans="2:5" x14ac:dyDescent="0.35">
      <c r="B1728" s="1"/>
    </row>
    <row r="1729" spans="2:5" x14ac:dyDescent="0.35">
      <c r="B1729" s="1"/>
    </row>
    <row r="1730" spans="2:5" x14ac:dyDescent="0.35">
      <c r="B1730" s="1"/>
    </row>
    <row r="1731" spans="2:5" x14ac:dyDescent="0.35">
      <c r="B1731" s="1"/>
    </row>
    <row r="1732" spans="2:5" x14ac:dyDescent="0.35">
      <c r="B1732" s="1"/>
      <c r="E1732" s="2"/>
    </row>
    <row r="1733" spans="2:5" x14ac:dyDescent="0.35">
      <c r="B1733" s="1"/>
    </row>
    <row r="1734" spans="2:5" x14ac:dyDescent="0.35">
      <c r="B1734" s="1"/>
    </row>
    <row r="1735" spans="2:5" x14ac:dyDescent="0.35">
      <c r="B1735" s="1"/>
      <c r="E1735" s="2"/>
    </row>
    <row r="1736" spans="2:5" x14ac:dyDescent="0.35">
      <c r="B1736" s="1"/>
      <c r="E1736" s="2"/>
    </row>
    <row r="1737" spans="2:5" x14ac:dyDescent="0.35">
      <c r="B1737" s="1"/>
    </row>
    <row r="1738" spans="2:5" x14ac:dyDescent="0.35">
      <c r="B1738" s="1"/>
    </row>
    <row r="1739" spans="2:5" x14ac:dyDescent="0.35">
      <c r="B1739" s="1"/>
      <c r="E1739" s="2"/>
    </row>
    <row r="1740" spans="2:5" x14ac:dyDescent="0.35">
      <c r="B1740" s="1"/>
      <c r="E1740" s="2"/>
    </row>
    <row r="1741" spans="2:5" x14ac:dyDescent="0.35">
      <c r="B1741" s="1"/>
    </row>
    <row r="1742" spans="2:5" x14ac:dyDescent="0.35">
      <c r="B1742" s="1"/>
    </row>
    <row r="1743" spans="2:5" x14ac:dyDescent="0.35">
      <c r="B1743" s="1"/>
      <c r="E1743" s="2"/>
    </row>
    <row r="1744" spans="2:5" x14ac:dyDescent="0.35">
      <c r="B1744" s="1"/>
    </row>
    <row r="1745" spans="2:5" x14ac:dyDescent="0.35">
      <c r="B1745" s="1"/>
    </row>
    <row r="1746" spans="2:5" x14ac:dyDescent="0.35">
      <c r="B1746" s="1"/>
    </row>
    <row r="1747" spans="2:5" x14ac:dyDescent="0.35">
      <c r="B1747" s="1"/>
      <c r="E1747" s="2"/>
    </row>
    <row r="1748" spans="2:5" x14ac:dyDescent="0.35">
      <c r="B1748" s="1"/>
    </row>
    <row r="1749" spans="2:5" x14ac:dyDescent="0.35">
      <c r="B1749" s="1"/>
      <c r="E1749" s="2"/>
    </row>
    <row r="1750" spans="2:5" x14ac:dyDescent="0.35">
      <c r="B1750" s="1"/>
    </row>
    <row r="1751" spans="2:5" x14ac:dyDescent="0.35">
      <c r="B1751" s="1"/>
    </row>
    <row r="1752" spans="2:5" x14ac:dyDescent="0.35">
      <c r="B1752" s="1"/>
    </row>
    <row r="1753" spans="2:5" x14ac:dyDescent="0.35">
      <c r="B1753" s="1"/>
    </row>
    <row r="1754" spans="2:5" x14ac:dyDescent="0.35">
      <c r="B1754" s="1"/>
      <c r="E1754" s="2"/>
    </row>
    <row r="1755" spans="2:5" x14ac:dyDescent="0.35">
      <c r="B1755" s="1"/>
    </row>
    <row r="1756" spans="2:5" x14ac:dyDescent="0.35">
      <c r="B1756" s="1"/>
    </row>
    <row r="1757" spans="2:5" x14ac:dyDescent="0.35">
      <c r="B1757" s="1"/>
    </row>
    <row r="1758" spans="2:5" x14ac:dyDescent="0.35">
      <c r="B1758" s="1"/>
    </row>
    <row r="1759" spans="2:5" x14ac:dyDescent="0.35">
      <c r="B1759" s="1"/>
      <c r="E1759" s="2"/>
    </row>
    <row r="1760" spans="2:5" x14ac:dyDescent="0.35">
      <c r="B1760" s="1"/>
      <c r="E1760" s="2"/>
    </row>
    <row r="1761" spans="2:5" x14ac:dyDescent="0.35">
      <c r="B1761" s="1"/>
    </row>
    <row r="1762" spans="2:5" x14ac:dyDescent="0.35">
      <c r="B1762" s="1"/>
      <c r="E1762" s="2"/>
    </row>
    <row r="1763" spans="2:5" x14ac:dyDescent="0.35">
      <c r="B1763" s="1"/>
      <c r="E1763" s="2"/>
    </row>
    <row r="1764" spans="2:5" x14ac:dyDescent="0.35">
      <c r="B1764" s="1"/>
      <c r="E1764" s="2"/>
    </row>
    <row r="1765" spans="2:5" x14ac:dyDescent="0.35">
      <c r="B1765" s="1"/>
    </row>
    <row r="1766" spans="2:5" x14ac:dyDescent="0.35">
      <c r="B1766" s="1"/>
      <c r="E1766" s="2"/>
    </row>
    <row r="1767" spans="2:5" x14ac:dyDescent="0.35">
      <c r="B1767" s="1"/>
      <c r="E1767" s="2"/>
    </row>
    <row r="1768" spans="2:5" x14ac:dyDescent="0.35">
      <c r="B1768" s="1"/>
      <c r="E1768" s="2"/>
    </row>
    <row r="1769" spans="2:5" x14ac:dyDescent="0.35">
      <c r="B1769" s="1"/>
    </row>
    <row r="1770" spans="2:5" x14ac:dyDescent="0.35">
      <c r="B1770" s="1"/>
    </row>
    <row r="1771" spans="2:5" x14ac:dyDescent="0.35">
      <c r="B1771" s="1"/>
      <c r="E1771" s="2"/>
    </row>
    <row r="1772" spans="2:5" x14ac:dyDescent="0.35">
      <c r="B1772" s="1"/>
    </row>
    <row r="1773" spans="2:5" x14ac:dyDescent="0.35">
      <c r="B1773" s="1"/>
    </row>
    <row r="1774" spans="2:5" x14ac:dyDescent="0.35">
      <c r="B1774" s="1"/>
    </row>
    <row r="1775" spans="2:5" x14ac:dyDescent="0.35">
      <c r="B1775" s="1"/>
    </row>
    <row r="1776" spans="2:5" x14ac:dyDescent="0.35">
      <c r="B1776" s="1"/>
      <c r="E1776" s="2"/>
    </row>
    <row r="1777" spans="2:5" x14ac:dyDescent="0.35">
      <c r="B1777" s="1"/>
    </row>
    <row r="1778" spans="2:5" x14ac:dyDescent="0.35">
      <c r="B1778" s="1"/>
    </row>
    <row r="1779" spans="2:5" x14ac:dyDescent="0.35">
      <c r="B1779" s="1"/>
    </row>
    <row r="1780" spans="2:5" x14ac:dyDescent="0.35">
      <c r="B1780" s="1"/>
    </row>
    <row r="1781" spans="2:5" x14ac:dyDescent="0.35">
      <c r="B1781" s="1"/>
      <c r="E1781" s="2"/>
    </row>
    <row r="1782" spans="2:5" x14ac:dyDescent="0.35">
      <c r="B1782" s="1"/>
      <c r="E1782" s="2"/>
    </row>
    <row r="1783" spans="2:5" x14ac:dyDescent="0.35">
      <c r="B1783" s="1"/>
    </row>
    <row r="1784" spans="2:5" x14ac:dyDescent="0.35">
      <c r="B1784" s="1"/>
      <c r="E1784" s="2"/>
    </row>
    <row r="1785" spans="2:5" x14ac:dyDescent="0.35">
      <c r="B1785" s="1"/>
      <c r="E1785" s="2"/>
    </row>
    <row r="1786" spans="2:5" x14ac:dyDescent="0.35">
      <c r="B1786" s="1"/>
    </row>
    <row r="1787" spans="2:5" x14ac:dyDescent="0.35">
      <c r="B1787" s="1"/>
      <c r="E1787" s="2"/>
    </row>
    <row r="1788" spans="2:5" x14ac:dyDescent="0.35">
      <c r="B1788" s="1"/>
      <c r="E1788" s="2"/>
    </row>
    <row r="1789" spans="2:5" x14ac:dyDescent="0.35">
      <c r="B1789" s="1"/>
      <c r="E1789" s="2"/>
    </row>
    <row r="1790" spans="2:5" x14ac:dyDescent="0.35">
      <c r="B1790" s="1"/>
    </row>
    <row r="1791" spans="2:5" x14ac:dyDescent="0.35">
      <c r="B1791" s="1"/>
      <c r="E1791" s="2"/>
    </row>
    <row r="1792" spans="2:5" x14ac:dyDescent="0.35">
      <c r="B1792" s="1"/>
    </row>
    <row r="1793" spans="2:5" x14ac:dyDescent="0.35">
      <c r="B1793" s="1"/>
      <c r="E1793" s="2"/>
    </row>
    <row r="1794" spans="2:5" x14ac:dyDescent="0.35">
      <c r="B1794" s="1"/>
      <c r="E1794" s="2"/>
    </row>
    <row r="1795" spans="2:5" x14ac:dyDescent="0.35">
      <c r="B1795" s="1"/>
    </row>
    <row r="1796" spans="2:5" x14ac:dyDescent="0.35">
      <c r="B1796" s="1"/>
    </row>
    <row r="1797" spans="2:5" x14ac:dyDescent="0.35">
      <c r="B1797" s="1"/>
      <c r="E1797" s="2"/>
    </row>
    <row r="1798" spans="2:5" x14ac:dyDescent="0.35">
      <c r="B1798" s="1"/>
    </row>
    <row r="1799" spans="2:5" x14ac:dyDescent="0.35">
      <c r="B1799" s="1"/>
    </row>
    <row r="1800" spans="2:5" x14ac:dyDescent="0.35">
      <c r="B1800" s="1"/>
      <c r="E1800" s="2"/>
    </row>
    <row r="1801" spans="2:5" x14ac:dyDescent="0.35">
      <c r="B1801" s="1"/>
      <c r="E1801" s="2"/>
    </row>
    <row r="1802" spans="2:5" x14ac:dyDescent="0.35">
      <c r="B1802" s="1"/>
    </row>
    <row r="1803" spans="2:5" x14ac:dyDescent="0.35">
      <c r="B1803" s="1"/>
    </row>
    <row r="1804" spans="2:5" x14ac:dyDescent="0.35">
      <c r="B1804" s="1"/>
      <c r="E1804" s="2"/>
    </row>
    <row r="1805" spans="2:5" x14ac:dyDescent="0.35">
      <c r="B1805" s="1"/>
    </row>
    <row r="1806" spans="2:5" x14ac:dyDescent="0.35">
      <c r="B1806" s="1"/>
    </row>
    <row r="1807" spans="2:5" x14ac:dyDescent="0.35">
      <c r="B1807" s="1"/>
      <c r="E1807" s="2"/>
    </row>
    <row r="1808" spans="2:5" x14ac:dyDescent="0.35">
      <c r="B1808" s="1"/>
      <c r="E1808" s="2"/>
    </row>
    <row r="1809" spans="2:5" x14ac:dyDescent="0.35">
      <c r="B1809" s="1"/>
      <c r="E1809" s="2"/>
    </row>
    <row r="1810" spans="2:5" x14ac:dyDescent="0.35">
      <c r="B1810" s="1"/>
      <c r="E1810" s="2"/>
    </row>
    <row r="1811" spans="2:5" x14ac:dyDescent="0.35">
      <c r="B1811" s="1"/>
      <c r="E1811" s="2"/>
    </row>
    <row r="1812" spans="2:5" x14ac:dyDescent="0.35">
      <c r="B1812" s="1"/>
    </row>
    <row r="1813" spans="2:5" x14ac:dyDescent="0.35">
      <c r="B1813" s="1"/>
    </row>
    <row r="1814" spans="2:5" x14ac:dyDescent="0.35">
      <c r="B1814" s="1"/>
      <c r="E1814" s="2"/>
    </row>
    <row r="1815" spans="2:5" x14ac:dyDescent="0.35">
      <c r="B1815" s="1"/>
      <c r="E1815" s="2"/>
    </row>
    <row r="1816" spans="2:5" x14ac:dyDescent="0.35">
      <c r="B1816" s="1"/>
      <c r="E1816" s="2"/>
    </row>
    <row r="1817" spans="2:5" x14ac:dyDescent="0.35">
      <c r="B1817" s="1"/>
      <c r="E1817" s="2"/>
    </row>
    <row r="1818" spans="2:5" x14ac:dyDescent="0.35">
      <c r="B1818" s="1"/>
      <c r="E1818" s="2"/>
    </row>
    <row r="1819" spans="2:5" x14ac:dyDescent="0.35">
      <c r="B1819" s="1"/>
    </row>
    <row r="1820" spans="2:5" x14ac:dyDescent="0.35">
      <c r="B1820" s="1"/>
      <c r="E1820" s="2"/>
    </row>
    <row r="1821" spans="2:5" x14ac:dyDescent="0.35">
      <c r="B1821" s="1"/>
      <c r="E1821" s="2"/>
    </row>
    <row r="1822" spans="2:5" x14ac:dyDescent="0.35">
      <c r="B1822" s="1"/>
      <c r="E1822" s="2"/>
    </row>
    <row r="1823" spans="2:5" x14ac:dyDescent="0.35">
      <c r="B1823" s="1"/>
    </row>
    <row r="1824" spans="2:5" x14ac:dyDescent="0.35">
      <c r="B1824" s="1"/>
      <c r="E1824" s="2"/>
    </row>
    <row r="1825" spans="2:5" x14ac:dyDescent="0.35">
      <c r="B1825" s="1"/>
      <c r="E1825" s="2"/>
    </row>
    <row r="1826" spans="2:5" x14ac:dyDescent="0.35">
      <c r="B1826" s="1"/>
    </row>
    <row r="1827" spans="2:5" x14ac:dyDescent="0.35">
      <c r="B1827" s="1"/>
      <c r="E1827" s="2"/>
    </row>
    <row r="1828" spans="2:5" x14ac:dyDescent="0.35">
      <c r="B1828" s="1"/>
      <c r="E1828" s="2"/>
    </row>
    <row r="1829" spans="2:5" x14ac:dyDescent="0.35">
      <c r="B1829" s="1"/>
    </row>
    <row r="1830" spans="2:5" x14ac:dyDescent="0.35">
      <c r="B1830" s="1"/>
    </row>
    <row r="1831" spans="2:5" x14ac:dyDescent="0.35">
      <c r="B1831" s="1"/>
      <c r="E1831" s="2"/>
    </row>
    <row r="1832" spans="2:5" x14ac:dyDescent="0.35">
      <c r="B1832" s="1"/>
      <c r="E1832" s="2"/>
    </row>
    <row r="1833" spans="2:5" x14ac:dyDescent="0.35">
      <c r="B1833" s="1"/>
      <c r="E1833" s="2"/>
    </row>
    <row r="1834" spans="2:5" x14ac:dyDescent="0.35">
      <c r="B1834" s="1"/>
      <c r="E1834" s="2"/>
    </row>
    <row r="1835" spans="2:5" x14ac:dyDescent="0.35">
      <c r="B1835" s="1"/>
    </row>
    <row r="1836" spans="2:5" x14ac:dyDescent="0.35">
      <c r="B1836" s="1"/>
      <c r="E1836" s="2"/>
    </row>
    <row r="1837" spans="2:5" x14ac:dyDescent="0.35">
      <c r="B1837" s="1"/>
      <c r="E1837" s="2"/>
    </row>
    <row r="1838" spans="2:5" x14ac:dyDescent="0.35">
      <c r="B1838" s="1"/>
    </row>
    <row r="1839" spans="2:5" x14ac:dyDescent="0.35">
      <c r="B1839" s="1"/>
    </row>
    <row r="1840" spans="2:5" x14ac:dyDescent="0.35">
      <c r="B1840" s="1"/>
    </row>
    <row r="1841" spans="2:5" x14ac:dyDescent="0.35">
      <c r="B1841" s="1"/>
      <c r="E1841" s="2"/>
    </row>
    <row r="1842" spans="2:5" x14ac:dyDescent="0.35">
      <c r="B1842" s="1"/>
      <c r="E1842" s="2"/>
    </row>
    <row r="1843" spans="2:5" x14ac:dyDescent="0.35">
      <c r="B1843" s="1"/>
    </row>
    <row r="1844" spans="2:5" x14ac:dyDescent="0.35">
      <c r="B1844" s="1"/>
    </row>
    <row r="1845" spans="2:5" x14ac:dyDescent="0.35">
      <c r="B1845" s="1"/>
    </row>
    <row r="1846" spans="2:5" x14ac:dyDescent="0.35">
      <c r="B1846" s="1"/>
      <c r="E1846" s="2"/>
    </row>
    <row r="1847" spans="2:5" x14ac:dyDescent="0.35">
      <c r="B1847" s="1"/>
      <c r="E1847" s="2"/>
    </row>
    <row r="1848" spans="2:5" x14ac:dyDescent="0.35">
      <c r="B1848" s="1"/>
    </row>
    <row r="1849" spans="2:5" x14ac:dyDescent="0.35">
      <c r="B1849" s="1"/>
      <c r="E1849" s="2"/>
    </row>
    <row r="1850" spans="2:5" x14ac:dyDescent="0.35">
      <c r="B1850" s="1"/>
      <c r="E1850" s="2"/>
    </row>
    <row r="1851" spans="2:5" x14ac:dyDescent="0.35">
      <c r="B1851" s="1"/>
    </row>
    <row r="1852" spans="2:5" x14ac:dyDescent="0.35">
      <c r="B1852" s="1"/>
    </row>
    <row r="1853" spans="2:5" x14ac:dyDescent="0.35">
      <c r="B1853" s="1"/>
      <c r="E1853" s="2"/>
    </row>
    <row r="1854" spans="2:5" x14ac:dyDescent="0.35">
      <c r="B1854" s="1"/>
    </row>
    <row r="1855" spans="2:5" x14ac:dyDescent="0.35">
      <c r="B1855" s="1"/>
      <c r="E1855" s="2"/>
    </row>
    <row r="1856" spans="2:5" x14ac:dyDescent="0.35">
      <c r="B1856" s="1"/>
    </row>
    <row r="1857" spans="2:5" x14ac:dyDescent="0.35">
      <c r="B1857" s="1"/>
      <c r="E1857" s="2"/>
    </row>
    <row r="1858" spans="2:5" x14ac:dyDescent="0.35">
      <c r="B1858" s="1"/>
    </row>
    <row r="1859" spans="2:5" x14ac:dyDescent="0.35">
      <c r="B1859" s="1"/>
    </row>
    <row r="1860" spans="2:5" x14ac:dyDescent="0.35">
      <c r="B1860" s="1"/>
    </row>
    <row r="1861" spans="2:5" x14ac:dyDescent="0.35">
      <c r="B1861" s="1"/>
    </row>
    <row r="1862" spans="2:5" x14ac:dyDescent="0.35">
      <c r="B1862" s="1"/>
      <c r="E1862" s="2"/>
    </row>
    <row r="1863" spans="2:5" x14ac:dyDescent="0.35">
      <c r="B1863" s="1"/>
      <c r="E1863" s="2"/>
    </row>
    <row r="1864" spans="2:5" x14ac:dyDescent="0.35">
      <c r="B1864" s="1"/>
      <c r="E1864" s="2"/>
    </row>
    <row r="1865" spans="2:5" x14ac:dyDescent="0.35">
      <c r="B1865" s="1"/>
      <c r="E1865" s="2"/>
    </row>
    <row r="1866" spans="2:5" x14ac:dyDescent="0.35">
      <c r="B1866" s="1"/>
    </row>
    <row r="1867" spans="2:5" x14ac:dyDescent="0.35">
      <c r="B1867" s="1"/>
    </row>
    <row r="1868" spans="2:5" x14ac:dyDescent="0.35">
      <c r="B1868" s="1"/>
      <c r="E1868" s="2"/>
    </row>
    <row r="1869" spans="2:5" x14ac:dyDescent="0.35">
      <c r="B1869" s="1"/>
    </row>
    <row r="1870" spans="2:5" x14ac:dyDescent="0.35">
      <c r="B1870" s="1"/>
    </row>
    <row r="1871" spans="2:5" x14ac:dyDescent="0.35">
      <c r="B1871" s="1"/>
    </row>
    <row r="1872" spans="2:5" x14ac:dyDescent="0.35">
      <c r="B1872" s="1"/>
      <c r="E1872" s="2"/>
    </row>
    <row r="1873" spans="2:5" x14ac:dyDescent="0.35">
      <c r="B1873" s="1"/>
      <c r="E1873" s="2"/>
    </row>
    <row r="1874" spans="2:5" x14ac:dyDescent="0.35">
      <c r="B1874" s="1"/>
      <c r="E1874" s="2"/>
    </row>
    <row r="1875" spans="2:5" x14ac:dyDescent="0.35">
      <c r="B1875" s="1"/>
    </row>
    <row r="1876" spans="2:5" x14ac:dyDescent="0.35">
      <c r="B1876" s="1"/>
      <c r="E1876" s="2"/>
    </row>
    <row r="1877" spans="2:5" x14ac:dyDescent="0.35">
      <c r="B1877" s="1"/>
    </row>
    <row r="1878" spans="2:5" x14ac:dyDescent="0.35">
      <c r="B1878" s="1"/>
    </row>
    <row r="1879" spans="2:5" x14ac:dyDescent="0.35">
      <c r="B1879" s="1"/>
    </row>
    <row r="1880" spans="2:5" x14ac:dyDescent="0.35">
      <c r="B1880" s="1"/>
    </row>
    <row r="1881" spans="2:5" x14ac:dyDescent="0.35">
      <c r="B1881" s="1"/>
    </row>
    <row r="1882" spans="2:5" x14ac:dyDescent="0.35">
      <c r="B1882" s="1"/>
      <c r="E1882" s="2"/>
    </row>
    <row r="1883" spans="2:5" x14ac:dyDescent="0.35">
      <c r="B1883" s="1"/>
      <c r="E1883" s="2"/>
    </row>
    <row r="1884" spans="2:5" x14ac:dyDescent="0.35">
      <c r="B1884" s="1"/>
      <c r="E1884" s="2"/>
    </row>
    <row r="1885" spans="2:5" x14ac:dyDescent="0.35">
      <c r="B1885" s="1"/>
      <c r="E1885" s="2"/>
    </row>
    <row r="1886" spans="2:5" x14ac:dyDescent="0.35">
      <c r="B1886" s="1"/>
      <c r="E1886" s="2"/>
    </row>
    <row r="1887" spans="2:5" x14ac:dyDescent="0.35">
      <c r="B1887" s="1"/>
    </row>
    <row r="1888" spans="2:5" x14ac:dyDescent="0.35">
      <c r="B1888" s="1"/>
      <c r="E1888" s="2"/>
    </row>
    <row r="1889" spans="2:5" x14ac:dyDescent="0.35">
      <c r="B1889" s="1"/>
    </row>
    <row r="1890" spans="2:5" x14ac:dyDescent="0.35">
      <c r="B1890" s="1"/>
      <c r="E1890" s="2"/>
    </row>
    <row r="1891" spans="2:5" x14ac:dyDescent="0.35">
      <c r="B1891" s="1"/>
      <c r="E1891" s="2"/>
    </row>
    <row r="1892" spans="2:5" x14ac:dyDescent="0.35">
      <c r="B1892" s="1"/>
      <c r="E1892" s="2"/>
    </row>
    <row r="1893" spans="2:5" x14ac:dyDescent="0.35">
      <c r="B1893" s="1"/>
      <c r="E1893" s="2"/>
    </row>
    <row r="1894" spans="2:5" x14ac:dyDescent="0.35">
      <c r="B1894" s="1"/>
      <c r="E1894" s="2"/>
    </row>
    <row r="1895" spans="2:5" x14ac:dyDescent="0.35">
      <c r="B1895" s="1"/>
      <c r="E1895" s="2"/>
    </row>
    <row r="1896" spans="2:5" x14ac:dyDescent="0.35">
      <c r="B1896" s="1"/>
      <c r="E1896" s="2"/>
    </row>
    <row r="1897" spans="2:5" x14ac:dyDescent="0.35">
      <c r="B1897" s="1"/>
      <c r="E1897" s="2"/>
    </row>
    <row r="1898" spans="2:5" x14ac:dyDescent="0.35">
      <c r="B1898" s="1"/>
    </row>
    <row r="1899" spans="2:5" x14ac:dyDescent="0.35">
      <c r="B1899" s="1"/>
      <c r="E1899" s="2"/>
    </row>
    <row r="1900" spans="2:5" x14ac:dyDescent="0.35">
      <c r="B1900" s="1"/>
    </row>
    <row r="1901" spans="2:5" x14ac:dyDescent="0.35">
      <c r="B1901" s="1"/>
      <c r="E1901" s="2"/>
    </row>
    <row r="1902" spans="2:5" x14ac:dyDescent="0.35">
      <c r="B1902" s="1"/>
    </row>
    <row r="1903" spans="2:5" x14ac:dyDescent="0.35">
      <c r="B1903" s="1"/>
      <c r="E1903" s="2"/>
    </row>
    <row r="1904" spans="2:5" x14ac:dyDescent="0.35">
      <c r="B1904" s="1"/>
      <c r="E1904" s="2"/>
    </row>
    <row r="1905" spans="2:5" x14ac:dyDescent="0.35">
      <c r="B1905" s="1"/>
      <c r="E1905" s="2"/>
    </row>
    <row r="1906" spans="2:5" x14ac:dyDescent="0.35">
      <c r="B1906" s="1"/>
      <c r="E1906" s="2"/>
    </row>
    <row r="1907" spans="2:5" x14ac:dyDescent="0.35">
      <c r="B1907" s="1"/>
      <c r="E1907" s="2"/>
    </row>
    <row r="1908" spans="2:5" x14ac:dyDescent="0.35">
      <c r="B1908" s="1"/>
      <c r="E1908" s="2"/>
    </row>
    <row r="1909" spans="2:5" x14ac:dyDescent="0.35">
      <c r="B1909" s="1"/>
      <c r="E1909" s="2"/>
    </row>
    <row r="1910" spans="2:5" x14ac:dyDescent="0.35">
      <c r="B1910" s="1"/>
    </row>
    <row r="1911" spans="2:5" x14ac:dyDescent="0.35">
      <c r="B1911" s="1"/>
      <c r="E1911" s="2"/>
    </row>
    <row r="1912" spans="2:5" x14ac:dyDescent="0.35">
      <c r="B1912" s="1"/>
    </row>
    <row r="1913" spans="2:5" x14ac:dyDescent="0.35">
      <c r="B1913" s="1"/>
    </row>
    <row r="1914" spans="2:5" x14ac:dyDescent="0.35">
      <c r="B1914" s="1"/>
      <c r="E1914" s="2"/>
    </row>
    <row r="1915" spans="2:5" x14ac:dyDescent="0.35">
      <c r="B1915" s="1"/>
      <c r="E1915" s="2"/>
    </row>
    <row r="1916" spans="2:5" x14ac:dyDescent="0.35">
      <c r="B1916" s="1"/>
    </row>
    <row r="1917" spans="2:5" x14ac:dyDescent="0.35">
      <c r="B1917" s="1"/>
      <c r="E1917" s="2"/>
    </row>
    <row r="1918" spans="2:5" x14ac:dyDescent="0.35">
      <c r="B1918" s="1"/>
      <c r="E1918" s="2"/>
    </row>
    <row r="1919" spans="2:5" x14ac:dyDescent="0.35">
      <c r="B1919" s="1"/>
      <c r="E1919" s="2"/>
    </row>
    <row r="1920" spans="2:5" x14ac:dyDescent="0.35">
      <c r="B1920" s="1"/>
      <c r="E1920" s="2"/>
    </row>
    <row r="1921" spans="2:5" x14ac:dyDescent="0.35">
      <c r="B1921" s="1"/>
    </row>
    <row r="1922" spans="2:5" x14ac:dyDescent="0.35">
      <c r="B1922" s="1"/>
    </row>
    <row r="1923" spans="2:5" x14ac:dyDescent="0.35">
      <c r="B1923" s="1"/>
      <c r="E1923" s="2"/>
    </row>
    <row r="1924" spans="2:5" x14ac:dyDescent="0.35">
      <c r="B1924" s="1"/>
      <c r="E1924" s="2"/>
    </row>
    <row r="1925" spans="2:5" x14ac:dyDescent="0.35">
      <c r="B1925" s="1"/>
    </row>
    <row r="1926" spans="2:5" x14ac:dyDescent="0.35">
      <c r="B1926" s="1"/>
    </row>
    <row r="1927" spans="2:5" x14ac:dyDescent="0.35">
      <c r="B1927" s="1"/>
    </row>
    <row r="1928" spans="2:5" x14ac:dyDescent="0.35">
      <c r="B1928" s="1"/>
    </row>
    <row r="1929" spans="2:5" x14ac:dyDescent="0.35">
      <c r="B1929" s="1"/>
      <c r="E1929" s="2"/>
    </row>
    <row r="1930" spans="2:5" x14ac:dyDescent="0.35">
      <c r="B1930" s="1"/>
      <c r="E1930" s="2"/>
    </row>
    <row r="1931" spans="2:5" x14ac:dyDescent="0.35">
      <c r="B1931" s="1"/>
      <c r="E1931" s="2"/>
    </row>
    <row r="1932" spans="2:5" x14ac:dyDescent="0.35">
      <c r="B1932" s="1"/>
    </row>
    <row r="1933" spans="2:5" x14ac:dyDescent="0.35">
      <c r="B1933" s="1"/>
    </row>
    <row r="1934" spans="2:5" x14ac:dyDescent="0.35">
      <c r="B1934" s="1"/>
    </row>
    <row r="1935" spans="2:5" x14ac:dyDescent="0.35">
      <c r="B1935" s="1"/>
      <c r="E1935" s="2"/>
    </row>
    <row r="1936" spans="2:5" x14ac:dyDescent="0.35">
      <c r="B1936" s="1"/>
      <c r="E1936" s="2"/>
    </row>
    <row r="1937" spans="2:5" x14ac:dyDescent="0.35">
      <c r="B1937" s="1"/>
      <c r="E1937" s="2"/>
    </row>
    <row r="1938" spans="2:5" x14ac:dyDescent="0.35">
      <c r="B1938" s="1"/>
      <c r="E1938" s="2"/>
    </row>
    <row r="1939" spans="2:5" x14ac:dyDescent="0.35">
      <c r="B1939" s="1"/>
    </row>
    <row r="1940" spans="2:5" x14ac:dyDescent="0.35">
      <c r="B1940" s="1"/>
    </row>
    <row r="1941" spans="2:5" x14ac:dyDescent="0.35">
      <c r="B1941" s="1"/>
    </row>
    <row r="1942" spans="2:5" x14ac:dyDescent="0.35">
      <c r="B1942" s="1"/>
      <c r="E1942" s="2"/>
    </row>
    <row r="1943" spans="2:5" x14ac:dyDescent="0.35">
      <c r="B1943" s="1"/>
      <c r="E1943" s="2"/>
    </row>
    <row r="1944" spans="2:5" x14ac:dyDescent="0.35">
      <c r="B1944" s="1"/>
    </row>
    <row r="1945" spans="2:5" x14ac:dyDescent="0.35">
      <c r="B1945" s="1"/>
    </row>
    <row r="1946" spans="2:5" x14ac:dyDescent="0.35">
      <c r="B1946" s="1"/>
      <c r="E1946" s="2"/>
    </row>
    <row r="1947" spans="2:5" x14ac:dyDescent="0.35">
      <c r="B1947" s="1"/>
      <c r="E1947" s="2"/>
    </row>
    <row r="1948" spans="2:5" x14ac:dyDescent="0.35">
      <c r="B1948" s="1"/>
      <c r="E1948" s="2"/>
    </row>
    <row r="1949" spans="2:5" x14ac:dyDescent="0.35">
      <c r="B1949" s="1"/>
    </row>
    <row r="1950" spans="2:5" x14ac:dyDescent="0.35">
      <c r="B1950" s="1"/>
      <c r="E1950" s="2"/>
    </row>
    <row r="1951" spans="2:5" x14ac:dyDescent="0.35">
      <c r="B1951" s="1"/>
      <c r="E1951" s="2"/>
    </row>
    <row r="1952" spans="2:5" x14ac:dyDescent="0.35">
      <c r="B1952" s="1"/>
      <c r="E1952" s="2"/>
    </row>
    <row r="1953" spans="2:5" x14ac:dyDescent="0.35">
      <c r="B1953" s="1"/>
      <c r="E1953" s="2"/>
    </row>
    <row r="1954" spans="2:5" x14ac:dyDescent="0.35">
      <c r="B1954" s="1"/>
      <c r="E1954" s="2"/>
    </row>
    <row r="1955" spans="2:5" x14ac:dyDescent="0.35">
      <c r="B1955" s="1"/>
    </row>
    <row r="1956" spans="2:5" x14ac:dyDescent="0.35">
      <c r="B1956" s="1"/>
      <c r="E1956" s="2"/>
    </row>
    <row r="1957" spans="2:5" x14ac:dyDescent="0.35">
      <c r="B1957" s="1"/>
      <c r="E1957" s="2"/>
    </row>
    <row r="1958" spans="2:5" x14ac:dyDescent="0.35">
      <c r="B1958" s="1"/>
      <c r="E1958" s="2"/>
    </row>
    <row r="1959" spans="2:5" x14ac:dyDescent="0.35">
      <c r="B1959" s="1"/>
    </row>
    <row r="1960" spans="2:5" x14ac:dyDescent="0.35">
      <c r="B1960" s="1"/>
    </row>
    <row r="1961" spans="2:5" x14ac:dyDescent="0.35">
      <c r="B1961" s="1"/>
    </row>
    <row r="1962" spans="2:5" x14ac:dyDescent="0.35">
      <c r="B1962" s="1"/>
    </row>
    <row r="1963" spans="2:5" x14ac:dyDescent="0.35">
      <c r="B1963" s="1"/>
      <c r="E1963" s="2"/>
    </row>
    <row r="1964" spans="2:5" x14ac:dyDescent="0.35">
      <c r="B1964" s="1"/>
      <c r="E1964" s="2"/>
    </row>
    <row r="1965" spans="2:5" x14ac:dyDescent="0.35">
      <c r="B1965" s="1"/>
    </row>
    <row r="1966" spans="2:5" x14ac:dyDescent="0.35">
      <c r="B1966" s="1"/>
      <c r="E1966" s="2"/>
    </row>
    <row r="1967" spans="2:5" x14ac:dyDescent="0.35">
      <c r="B1967" s="1"/>
    </row>
    <row r="1968" spans="2:5" x14ac:dyDescent="0.35">
      <c r="B1968" s="1"/>
    </row>
    <row r="1969" spans="2:5" x14ac:dyDescent="0.35">
      <c r="B1969" s="1"/>
      <c r="E1969" s="2"/>
    </row>
    <row r="1970" spans="2:5" x14ac:dyDescent="0.35">
      <c r="B1970" s="1"/>
      <c r="E1970" s="2"/>
    </row>
    <row r="1971" spans="2:5" x14ac:dyDescent="0.35">
      <c r="B1971" s="1"/>
      <c r="E1971" s="2"/>
    </row>
    <row r="1972" spans="2:5" x14ac:dyDescent="0.35">
      <c r="B1972" s="1"/>
      <c r="E1972" s="2"/>
    </row>
    <row r="1973" spans="2:5" x14ac:dyDescent="0.35">
      <c r="B1973" s="1"/>
      <c r="E1973" s="2"/>
    </row>
    <row r="1974" spans="2:5" x14ac:dyDescent="0.35">
      <c r="B1974" s="1"/>
    </row>
    <row r="1975" spans="2:5" x14ac:dyDescent="0.35">
      <c r="B1975" s="1"/>
      <c r="E1975" s="2"/>
    </row>
    <row r="1976" spans="2:5" x14ac:dyDescent="0.35">
      <c r="B1976" s="1"/>
    </row>
    <row r="1977" spans="2:5" x14ac:dyDescent="0.35">
      <c r="B1977" s="1"/>
      <c r="E1977" s="2"/>
    </row>
    <row r="1978" spans="2:5" x14ac:dyDescent="0.35">
      <c r="B1978" s="1"/>
    </row>
    <row r="1979" spans="2:5" x14ac:dyDescent="0.35">
      <c r="B1979" s="1"/>
    </row>
    <row r="1980" spans="2:5" x14ac:dyDescent="0.35">
      <c r="B1980" s="1"/>
    </row>
    <row r="1981" spans="2:5" x14ac:dyDescent="0.35">
      <c r="B1981" s="1"/>
      <c r="E1981" s="2"/>
    </row>
    <row r="1982" spans="2:5" x14ac:dyDescent="0.35">
      <c r="B1982" s="1"/>
    </row>
    <row r="1983" spans="2:5" x14ac:dyDescent="0.35">
      <c r="B1983" s="1"/>
      <c r="E1983" s="2"/>
    </row>
    <row r="1984" spans="2:5" x14ac:dyDescent="0.35">
      <c r="B1984" s="1"/>
    </row>
    <row r="1985" spans="2:5" x14ac:dyDescent="0.35">
      <c r="B1985" s="1"/>
    </row>
    <row r="1986" spans="2:5" x14ac:dyDescent="0.35">
      <c r="B1986" s="1"/>
      <c r="E1986" s="2"/>
    </row>
    <row r="1987" spans="2:5" x14ac:dyDescent="0.35">
      <c r="B1987" s="1"/>
    </row>
    <row r="1988" spans="2:5" x14ac:dyDescent="0.35">
      <c r="B1988" s="1"/>
      <c r="E1988" s="2"/>
    </row>
    <row r="1989" spans="2:5" x14ac:dyDescent="0.35">
      <c r="B1989" s="1"/>
    </row>
    <row r="1990" spans="2:5" x14ac:dyDescent="0.35">
      <c r="B1990" s="1"/>
      <c r="E1990" s="2"/>
    </row>
    <row r="1991" spans="2:5" x14ac:dyDescent="0.35">
      <c r="B1991" s="1"/>
      <c r="E1991" s="2"/>
    </row>
    <row r="1992" spans="2:5" x14ac:dyDescent="0.35">
      <c r="B1992" s="1"/>
      <c r="E1992" s="2"/>
    </row>
    <row r="1993" spans="2:5" x14ac:dyDescent="0.35">
      <c r="B1993" s="1"/>
      <c r="E1993" s="2"/>
    </row>
    <row r="1994" spans="2:5" x14ac:dyDescent="0.35">
      <c r="B1994" s="1"/>
      <c r="E1994" s="2"/>
    </row>
    <row r="1995" spans="2:5" x14ac:dyDescent="0.35">
      <c r="B1995" s="1"/>
    </row>
    <row r="1996" spans="2:5" x14ac:dyDescent="0.35">
      <c r="B1996" s="1"/>
      <c r="E1996" s="2"/>
    </row>
    <row r="1997" spans="2:5" x14ac:dyDescent="0.35">
      <c r="B1997" s="1"/>
    </row>
    <row r="1998" spans="2:5" x14ac:dyDescent="0.35">
      <c r="B1998" s="1"/>
    </row>
    <row r="1999" spans="2:5" x14ac:dyDescent="0.35">
      <c r="B1999" s="1"/>
    </row>
    <row r="2000" spans="2:5" x14ac:dyDescent="0.35">
      <c r="B2000" s="1"/>
    </row>
    <row r="2001" spans="2:5" x14ac:dyDescent="0.35">
      <c r="B2001" s="1"/>
      <c r="E2001" s="2"/>
    </row>
    <row r="2002" spans="2:5" x14ac:dyDescent="0.35">
      <c r="B2002" s="1"/>
      <c r="E2002" s="2"/>
    </row>
    <row r="2003" spans="2:5" x14ac:dyDescent="0.35">
      <c r="B2003" s="1"/>
      <c r="E2003" s="2"/>
    </row>
    <row r="2004" spans="2:5" x14ac:dyDescent="0.35">
      <c r="B2004" s="1"/>
      <c r="E2004" s="2"/>
    </row>
    <row r="2005" spans="2:5" x14ac:dyDescent="0.35">
      <c r="B2005" s="1"/>
      <c r="E2005" s="2"/>
    </row>
    <row r="2006" spans="2:5" x14ac:dyDescent="0.35">
      <c r="B2006" s="1"/>
      <c r="E2006" s="2"/>
    </row>
    <row r="2007" spans="2:5" x14ac:dyDescent="0.35">
      <c r="B2007" s="1"/>
    </row>
    <row r="2008" spans="2:5" x14ac:dyDescent="0.35">
      <c r="B2008" s="1"/>
    </row>
    <row r="2009" spans="2:5" x14ac:dyDescent="0.35">
      <c r="B2009" s="1"/>
    </row>
    <row r="2010" spans="2:5" x14ac:dyDescent="0.35">
      <c r="B2010" s="1"/>
    </row>
    <row r="2011" spans="2:5" x14ac:dyDescent="0.35">
      <c r="B2011" s="1"/>
    </row>
    <row r="2012" spans="2:5" x14ac:dyDescent="0.35">
      <c r="B2012" s="1"/>
      <c r="E2012" s="2"/>
    </row>
    <row r="2013" spans="2:5" x14ac:dyDescent="0.35">
      <c r="B2013" s="1"/>
    </row>
    <row r="2014" spans="2:5" x14ac:dyDescent="0.35">
      <c r="B2014" s="1"/>
      <c r="E2014" s="2"/>
    </row>
    <row r="2015" spans="2:5" x14ac:dyDescent="0.35">
      <c r="B2015" s="1"/>
      <c r="E2015" s="2"/>
    </row>
    <row r="2016" spans="2:5" x14ac:dyDescent="0.35">
      <c r="B2016" s="1"/>
      <c r="E2016" s="2"/>
    </row>
    <row r="2017" spans="2:5" x14ac:dyDescent="0.35">
      <c r="B2017" s="1"/>
    </row>
    <row r="2018" spans="2:5" x14ac:dyDescent="0.35">
      <c r="B2018" s="1"/>
    </row>
    <row r="2019" spans="2:5" x14ac:dyDescent="0.35">
      <c r="B2019" s="1"/>
      <c r="E2019" s="2"/>
    </row>
    <row r="2020" spans="2:5" x14ac:dyDescent="0.35">
      <c r="B2020" s="1"/>
    </row>
    <row r="2021" spans="2:5" x14ac:dyDescent="0.35">
      <c r="B2021" s="1"/>
      <c r="E2021" s="2"/>
    </row>
    <row r="2022" spans="2:5" x14ac:dyDescent="0.35">
      <c r="B2022" s="1"/>
      <c r="E2022" s="2"/>
    </row>
    <row r="2023" spans="2:5" x14ac:dyDescent="0.35">
      <c r="B2023" s="1"/>
      <c r="E2023" s="2"/>
    </row>
    <row r="2024" spans="2:5" x14ac:dyDescent="0.35">
      <c r="B2024" s="1"/>
      <c r="E2024" s="2"/>
    </row>
    <row r="2025" spans="2:5" x14ac:dyDescent="0.35">
      <c r="B2025" s="1"/>
      <c r="E2025" s="2"/>
    </row>
    <row r="2026" spans="2:5" x14ac:dyDescent="0.35">
      <c r="B2026" s="1"/>
      <c r="E2026" s="2"/>
    </row>
    <row r="2027" spans="2:5" x14ac:dyDescent="0.35">
      <c r="B2027" s="1"/>
      <c r="E2027" s="2"/>
    </row>
    <row r="2028" spans="2:5" x14ac:dyDescent="0.35">
      <c r="B2028" s="1"/>
      <c r="E2028" s="2"/>
    </row>
    <row r="2029" spans="2:5" x14ac:dyDescent="0.35">
      <c r="B2029" s="1"/>
    </row>
    <row r="2030" spans="2:5" x14ac:dyDescent="0.35">
      <c r="B2030" s="1"/>
    </row>
    <row r="2031" spans="2:5" x14ac:dyDescent="0.35">
      <c r="B2031" s="1"/>
    </row>
    <row r="2032" spans="2:5" x14ac:dyDescent="0.35">
      <c r="B2032" s="1"/>
    </row>
    <row r="2033" spans="2:5" x14ac:dyDescent="0.35">
      <c r="B2033" s="1"/>
    </row>
    <row r="2034" spans="2:5" x14ac:dyDescent="0.35">
      <c r="B2034" s="1"/>
      <c r="E2034" s="2"/>
    </row>
    <row r="2035" spans="2:5" x14ac:dyDescent="0.35">
      <c r="B2035" s="1"/>
    </row>
    <row r="2036" spans="2:5" x14ac:dyDescent="0.35">
      <c r="B2036" s="1"/>
      <c r="E2036" s="2"/>
    </row>
    <row r="2037" spans="2:5" x14ac:dyDescent="0.35">
      <c r="B2037" s="1"/>
      <c r="E2037" s="2"/>
    </row>
    <row r="2038" spans="2:5" x14ac:dyDescent="0.35">
      <c r="B2038" s="1"/>
      <c r="E2038" s="2"/>
    </row>
    <row r="2039" spans="2:5" x14ac:dyDescent="0.35">
      <c r="B2039" s="1"/>
      <c r="E2039" s="2"/>
    </row>
    <row r="2040" spans="2:5" x14ac:dyDescent="0.35">
      <c r="B2040" s="1"/>
    </row>
    <row r="2041" spans="2:5" x14ac:dyDescent="0.35">
      <c r="B2041" s="1"/>
    </row>
    <row r="2042" spans="2:5" x14ac:dyDescent="0.35">
      <c r="B2042" s="1"/>
    </row>
    <row r="2043" spans="2:5" x14ac:dyDescent="0.35">
      <c r="B2043" s="1"/>
    </row>
    <row r="2044" spans="2:5" x14ac:dyDescent="0.35">
      <c r="B2044" s="1"/>
      <c r="E2044" s="2"/>
    </row>
    <row r="2045" spans="2:5" x14ac:dyDescent="0.35">
      <c r="B2045" s="1"/>
    </row>
    <row r="2046" spans="2:5" x14ac:dyDescent="0.35">
      <c r="B2046" s="1"/>
      <c r="E2046" s="2"/>
    </row>
    <row r="2047" spans="2:5" x14ac:dyDescent="0.35">
      <c r="B2047" s="1"/>
    </row>
    <row r="2048" spans="2:5" x14ac:dyDescent="0.35">
      <c r="B2048" s="1"/>
      <c r="E2048" s="2"/>
    </row>
    <row r="2049" spans="2:5" x14ac:dyDescent="0.35">
      <c r="B2049" s="1"/>
    </row>
    <row r="2050" spans="2:5" x14ac:dyDescent="0.35">
      <c r="B2050" s="1"/>
    </row>
    <row r="2051" spans="2:5" x14ac:dyDescent="0.35">
      <c r="B2051" s="1"/>
      <c r="E2051" s="2"/>
    </row>
    <row r="2052" spans="2:5" x14ac:dyDescent="0.35">
      <c r="B2052" s="1"/>
      <c r="E2052" s="2"/>
    </row>
    <row r="2053" spans="2:5" x14ac:dyDescent="0.35">
      <c r="B2053" s="1"/>
      <c r="E2053" s="2"/>
    </row>
    <row r="2054" spans="2:5" x14ac:dyDescent="0.35">
      <c r="B2054" s="1"/>
      <c r="E2054" s="2"/>
    </row>
    <row r="2055" spans="2:5" x14ac:dyDescent="0.35">
      <c r="B2055" s="1"/>
      <c r="E2055" s="2"/>
    </row>
    <row r="2056" spans="2:5" x14ac:dyDescent="0.35">
      <c r="B2056" s="1"/>
    </row>
    <row r="2057" spans="2:5" x14ac:dyDescent="0.35">
      <c r="B2057" s="1"/>
      <c r="E2057" s="2"/>
    </row>
    <row r="2058" spans="2:5" x14ac:dyDescent="0.35">
      <c r="B2058" s="1"/>
      <c r="E2058" s="2"/>
    </row>
    <row r="2059" spans="2:5" x14ac:dyDescent="0.35">
      <c r="B2059" s="1"/>
      <c r="E2059" s="2"/>
    </row>
    <row r="2060" spans="2:5" x14ac:dyDescent="0.35">
      <c r="B2060" s="1"/>
    </row>
    <row r="2061" spans="2:5" x14ac:dyDescent="0.35">
      <c r="B2061" s="1"/>
      <c r="E2061" s="2"/>
    </row>
    <row r="2062" spans="2:5" x14ac:dyDescent="0.35">
      <c r="B2062" s="1"/>
    </row>
    <row r="2063" spans="2:5" x14ac:dyDescent="0.35">
      <c r="B2063" s="1"/>
    </row>
    <row r="2064" spans="2:5" x14ac:dyDescent="0.35">
      <c r="B2064" s="1"/>
    </row>
    <row r="2065" spans="2:5" x14ac:dyDescent="0.35">
      <c r="B2065" s="1"/>
      <c r="E2065" s="2"/>
    </row>
    <row r="2066" spans="2:5" x14ac:dyDescent="0.35">
      <c r="B2066" s="1"/>
    </row>
    <row r="2067" spans="2:5" x14ac:dyDescent="0.35">
      <c r="B2067" s="1"/>
    </row>
    <row r="2068" spans="2:5" x14ac:dyDescent="0.35">
      <c r="B2068" s="1"/>
      <c r="E2068" s="2"/>
    </row>
    <row r="2069" spans="2:5" x14ac:dyDescent="0.35">
      <c r="B2069" s="1"/>
      <c r="E2069" s="2"/>
    </row>
    <row r="2070" spans="2:5" x14ac:dyDescent="0.35">
      <c r="B2070" s="1"/>
    </row>
    <row r="2071" spans="2:5" x14ac:dyDescent="0.35">
      <c r="B2071" s="1"/>
      <c r="E2071" s="2"/>
    </row>
    <row r="2072" spans="2:5" x14ac:dyDescent="0.35">
      <c r="B2072" s="1"/>
      <c r="E2072" s="2"/>
    </row>
    <row r="2073" spans="2:5" x14ac:dyDescent="0.35">
      <c r="B2073" s="1"/>
      <c r="E2073" s="2"/>
    </row>
    <row r="2074" spans="2:5" x14ac:dyDescent="0.35">
      <c r="B2074" s="1"/>
      <c r="E2074" s="2"/>
    </row>
    <row r="2075" spans="2:5" x14ac:dyDescent="0.35">
      <c r="B2075" s="1"/>
    </row>
    <row r="2076" spans="2:5" x14ac:dyDescent="0.35">
      <c r="B2076" s="1"/>
    </row>
    <row r="2077" spans="2:5" x14ac:dyDescent="0.35">
      <c r="B2077" s="1"/>
    </row>
    <row r="2078" spans="2:5" x14ac:dyDescent="0.35">
      <c r="B2078" s="1"/>
      <c r="E2078" s="2"/>
    </row>
    <row r="2079" spans="2:5" x14ac:dyDescent="0.35">
      <c r="B2079" s="1"/>
      <c r="E2079" s="2"/>
    </row>
    <row r="2080" spans="2:5" x14ac:dyDescent="0.35">
      <c r="B2080" s="1"/>
    </row>
    <row r="2081" spans="2:5" x14ac:dyDescent="0.35">
      <c r="B2081" s="1"/>
    </row>
    <row r="2082" spans="2:5" x14ac:dyDescent="0.35">
      <c r="B2082" s="1"/>
    </row>
    <row r="2083" spans="2:5" x14ac:dyDescent="0.35">
      <c r="B2083" s="1"/>
      <c r="E2083" s="2"/>
    </row>
    <row r="2084" spans="2:5" x14ac:dyDescent="0.35">
      <c r="B2084" s="1"/>
    </row>
    <row r="2085" spans="2:5" x14ac:dyDescent="0.35">
      <c r="B2085" s="1"/>
      <c r="E2085" s="2"/>
    </row>
    <row r="2086" spans="2:5" x14ac:dyDescent="0.35">
      <c r="B2086" s="1"/>
      <c r="E2086" s="2"/>
    </row>
    <row r="2087" spans="2:5" x14ac:dyDescent="0.35">
      <c r="B2087" s="1"/>
    </row>
    <row r="2088" spans="2:5" x14ac:dyDescent="0.35">
      <c r="B2088" s="1"/>
    </row>
    <row r="2089" spans="2:5" x14ac:dyDescent="0.35">
      <c r="B2089" s="1"/>
    </row>
    <row r="2090" spans="2:5" x14ac:dyDescent="0.35">
      <c r="B2090" s="1"/>
      <c r="E2090" s="2"/>
    </row>
    <row r="2091" spans="2:5" x14ac:dyDescent="0.35">
      <c r="B2091" s="1"/>
    </row>
    <row r="2092" spans="2:5" x14ac:dyDescent="0.35">
      <c r="B2092" s="1"/>
      <c r="E2092" s="2"/>
    </row>
    <row r="2093" spans="2:5" x14ac:dyDescent="0.35">
      <c r="B2093" s="1"/>
    </row>
    <row r="2094" spans="2:5" x14ac:dyDescent="0.35">
      <c r="B2094" s="1"/>
    </row>
    <row r="2095" spans="2:5" x14ac:dyDescent="0.35">
      <c r="B2095" s="1"/>
    </row>
    <row r="2096" spans="2:5" x14ac:dyDescent="0.35">
      <c r="B2096" s="1"/>
    </row>
    <row r="2097" spans="2:5" x14ac:dyDescent="0.35">
      <c r="B2097" s="1"/>
      <c r="E2097" s="2"/>
    </row>
    <row r="2098" spans="2:5" x14ac:dyDescent="0.35">
      <c r="B2098" s="1"/>
      <c r="E2098" s="2"/>
    </row>
    <row r="2099" spans="2:5" x14ac:dyDescent="0.35">
      <c r="B2099" s="1"/>
    </row>
    <row r="2100" spans="2:5" x14ac:dyDescent="0.35">
      <c r="B2100" s="1"/>
      <c r="E2100" s="2"/>
    </row>
    <row r="2101" spans="2:5" x14ac:dyDescent="0.35">
      <c r="B2101" s="1"/>
    </row>
    <row r="2102" spans="2:5" x14ac:dyDescent="0.35">
      <c r="B2102" s="1"/>
      <c r="E2102" s="2"/>
    </row>
    <row r="2103" spans="2:5" x14ac:dyDescent="0.35">
      <c r="B2103" s="1"/>
    </row>
    <row r="2104" spans="2:5" x14ac:dyDescent="0.35">
      <c r="B2104" s="1"/>
    </row>
    <row r="2105" spans="2:5" x14ac:dyDescent="0.35">
      <c r="B2105" s="1"/>
      <c r="E2105" s="2"/>
    </row>
    <row r="2106" spans="2:5" x14ac:dyDescent="0.35">
      <c r="B2106" s="1"/>
      <c r="E2106" s="2"/>
    </row>
    <row r="2107" spans="2:5" x14ac:dyDescent="0.35">
      <c r="B2107" s="1"/>
      <c r="E2107" s="2"/>
    </row>
    <row r="2108" spans="2:5" x14ac:dyDescent="0.35">
      <c r="B2108" s="1"/>
      <c r="E2108" s="2"/>
    </row>
    <row r="2109" spans="2:5" x14ac:dyDescent="0.35">
      <c r="B2109" s="1"/>
      <c r="E2109" s="2"/>
    </row>
    <row r="2110" spans="2:5" x14ac:dyDescent="0.35">
      <c r="B2110" s="1"/>
      <c r="E2110" s="2"/>
    </row>
    <row r="2111" spans="2:5" x14ac:dyDescent="0.35">
      <c r="B2111" s="1"/>
      <c r="E2111" s="2"/>
    </row>
    <row r="2112" spans="2:5" x14ac:dyDescent="0.35">
      <c r="B2112" s="1"/>
    </row>
    <row r="2113" spans="2:5" x14ac:dyDescent="0.35">
      <c r="B2113" s="1"/>
    </row>
    <row r="2114" spans="2:5" x14ac:dyDescent="0.35">
      <c r="B2114" s="1"/>
    </row>
    <row r="2115" spans="2:5" x14ac:dyDescent="0.35">
      <c r="B2115" s="1"/>
      <c r="E2115" s="2"/>
    </row>
    <row r="2116" spans="2:5" x14ac:dyDescent="0.35">
      <c r="B2116" s="1"/>
    </row>
    <row r="2117" spans="2:5" x14ac:dyDescent="0.35">
      <c r="B2117" s="1"/>
      <c r="E2117" s="2"/>
    </row>
    <row r="2118" spans="2:5" x14ac:dyDescent="0.35">
      <c r="B2118" s="1"/>
      <c r="E2118" s="2"/>
    </row>
    <row r="2119" spans="2:5" x14ac:dyDescent="0.35">
      <c r="B2119" s="1"/>
      <c r="E2119" s="2"/>
    </row>
    <row r="2120" spans="2:5" x14ac:dyDescent="0.35">
      <c r="B2120" s="1"/>
    </row>
    <row r="2121" spans="2:5" x14ac:dyDescent="0.35">
      <c r="B2121" s="1"/>
      <c r="E2121" s="2"/>
    </row>
    <row r="2122" spans="2:5" x14ac:dyDescent="0.35">
      <c r="B2122" s="1"/>
    </row>
    <row r="2123" spans="2:5" x14ac:dyDescent="0.35">
      <c r="B2123" s="1"/>
    </row>
    <row r="2124" spans="2:5" x14ac:dyDescent="0.35">
      <c r="B2124" s="1"/>
      <c r="E2124" s="2"/>
    </row>
    <row r="2125" spans="2:5" x14ac:dyDescent="0.35">
      <c r="B2125" s="1"/>
      <c r="E2125" s="2"/>
    </row>
    <row r="2126" spans="2:5" x14ac:dyDescent="0.35">
      <c r="B2126" s="1"/>
      <c r="E2126" s="2"/>
    </row>
    <row r="2127" spans="2:5" x14ac:dyDescent="0.35">
      <c r="B2127" s="1"/>
      <c r="E2127" s="2"/>
    </row>
    <row r="2128" spans="2:5" x14ac:dyDescent="0.35">
      <c r="B2128" s="1"/>
    </row>
    <row r="2129" spans="2:5" x14ac:dyDescent="0.35">
      <c r="B2129" s="1"/>
      <c r="E2129" s="2"/>
    </row>
    <row r="2130" spans="2:5" x14ac:dyDescent="0.35">
      <c r="B2130" s="1"/>
      <c r="E2130" s="2"/>
    </row>
    <row r="2131" spans="2:5" x14ac:dyDescent="0.35">
      <c r="B2131" s="1"/>
      <c r="E2131" s="2"/>
    </row>
    <row r="2132" spans="2:5" x14ac:dyDescent="0.35">
      <c r="B2132" s="1"/>
      <c r="E2132" s="2"/>
    </row>
    <row r="2133" spans="2:5" x14ac:dyDescent="0.35">
      <c r="B2133" s="1"/>
      <c r="E2133" s="2"/>
    </row>
    <row r="2134" spans="2:5" x14ac:dyDescent="0.35">
      <c r="B2134" s="1"/>
    </row>
    <row r="2135" spans="2:5" x14ac:dyDescent="0.35">
      <c r="B2135" s="1"/>
    </row>
    <row r="2136" spans="2:5" x14ac:dyDescent="0.35">
      <c r="B2136" s="1"/>
      <c r="E2136" s="2"/>
    </row>
    <row r="2137" spans="2:5" x14ac:dyDescent="0.35">
      <c r="B2137" s="1"/>
      <c r="E2137" s="2"/>
    </row>
    <row r="2138" spans="2:5" x14ac:dyDescent="0.35">
      <c r="B2138" s="1"/>
    </row>
    <row r="2139" spans="2:5" x14ac:dyDescent="0.35">
      <c r="B2139" s="1"/>
      <c r="E2139" s="2"/>
    </row>
    <row r="2140" spans="2:5" x14ac:dyDescent="0.35">
      <c r="B2140" s="1"/>
    </row>
    <row r="2141" spans="2:5" x14ac:dyDescent="0.35">
      <c r="B2141" s="1"/>
    </row>
    <row r="2142" spans="2:5" x14ac:dyDescent="0.35">
      <c r="B2142" s="1"/>
    </row>
    <row r="2143" spans="2:5" x14ac:dyDescent="0.35">
      <c r="B2143" s="1"/>
      <c r="E2143" s="2"/>
    </row>
    <row r="2144" spans="2:5" x14ac:dyDescent="0.35">
      <c r="B2144" s="1"/>
      <c r="E2144" s="2"/>
    </row>
    <row r="2145" spans="2:5" x14ac:dyDescent="0.35">
      <c r="B2145" s="1"/>
    </row>
    <row r="2146" spans="2:5" x14ac:dyDescent="0.35">
      <c r="B2146" s="1"/>
      <c r="E2146" s="2"/>
    </row>
    <row r="2147" spans="2:5" x14ac:dyDescent="0.35">
      <c r="B2147" s="1"/>
      <c r="E2147" s="2"/>
    </row>
    <row r="2148" spans="2:5" x14ac:dyDescent="0.35">
      <c r="B2148" s="1"/>
    </row>
    <row r="2149" spans="2:5" x14ac:dyDescent="0.35">
      <c r="B2149" s="1"/>
      <c r="E2149" s="2"/>
    </row>
    <row r="2150" spans="2:5" x14ac:dyDescent="0.35">
      <c r="B2150" s="1"/>
      <c r="E2150" s="2"/>
    </row>
    <row r="2151" spans="2:5" x14ac:dyDescent="0.35">
      <c r="B2151" s="1"/>
    </row>
    <row r="2152" spans="2:5" x14ac:dyDescent="0.35">
      <c r="B2152" s="1"/>
      <c r="E2152" s="2"/>
    </row>
    <row r="2153" spans="2:5" x14ac:dyDescent="0.35">
      <c r="B2153" s="1"/>
    </row>
    <row r="2154" spans="2:5" x14ac:dyDescent="0.35">
      <c r="B2154" s="1"/>
      <c r="E2154" s="2"/>
    </row>
    <row r="2155" spans="2:5" x14ac:dyDescent="0.35">
      <c r="B2155" s="1"/>
    </row>
    <row r="2156" spans="2:5" x14ac:dyDescent="0.35">
      <c r="B2156" s="1"/>
      <c r="E2156" s="2"/>
    </row>
    <row r="2157" spans="2:5" x14ac:dyDescent="0.35">
      <c r="B2157" s="1"/>
    </row>
    <row r="2158" spans="2:5" x14ac:dyDescent="0.35">
      <c r="B2158" s="1"/>
      <c r="E2158" s="2"/>
    </row>
    <row r="2159" spans="2:5" x14ac:dyDescent="0.35">
      <c r="B2159" s="1"/>
      <c r="E2159" s="2"/>
    </row>
    <row r="2160" spans="2:5" x14ac:dyDescent="0.35">
      <c r="B2160" s="1"/>
      <c r="E2160" s="2"/>
    </row>
    <row r="2161" spans="2:5" x14ac:dyDescent="0.35">
      <c r="B2161" s="1"/>
    </row>
    <row r="2162" spans="2:5" x14ac:dyDescent="0.35">
      <c r="B2162" s="1"/>
    </row>
    <row r="2163" spans="2:5" x14ac:dyDescent="0.35">
      <c r="B2163" s="1"/>
      <c r="E2163" s="2"/>
    </row>
    <row r="2164" spans="2:5" x14ac:dyDescent="0.35">
      <c r="B2164" s="1"/>
    </row>
    <row r="2165" spans="2:5" x14ac:dyDescent="0.35">
      <c r="B2165" s="1"/>
    </row>
    <row r="2166" spans="2:5" x14ac:dyDescent="0.35">
      <c r="B2166" s="1"/>
      <c r="E2166" s="2"/>
    </row>
    <row r="2167" spans="2:5" x14ac:dyDescent="0.35">
      <c r="B2167" s="1"/>
      <c r="E2167" s="2"/>
    </row>
    <row r="2168" spans="2:5" x14ac:dyDescent="0.35">
      <c r="B2168" s="1"/>
    </row>
    <row r="2169" spans="2:5" x14ac:dyDescent="0.35">
      <c r="B2169" s="1"/>
    </row>
    <row r="2170" spans="2:5" x14ac:dyDescent="0.35">
      <c r="B2170" s="1"/>
    </row>
    <row r="2171" spans="2:5" x14ac:dyDescent="0.35">
      <c r="B2171" s="1"/>
      <c r="E2171" s="2"/>
    </row>
    <row r="2172" spans="2:5" x14ac:dyDescent="0.35">
      <c r="B2172" s="1"/>
    </row>
    <row r="2173" spans="2:5" x14ac:dyDescent="0.35">
      <c r="B2173" s="1"/>
      <c r="E2173" s="2"/>
    </row>
    <row r="2174" spans="2:5" x14ac:dyDescent="0.35">
      <c r="B2174" s="1"/>
    </row>
    <row r="2175" spans="2:5" x14ac:dyDescent="0.35">
      <c r="B2175" s="1"/>
      <c r="E2175" s="2"/>
    </row>
    <row r="2176" spans="2:5" x14ac:dyDescent="0.35">
      <c r="B2176" s="1"/>
      <c r="E2176" s="2"/>
    </row>
    <row r="2177" spans="2:5" x14ac:dyDescent="0.35">
      <c r="B2177" s="1"/>
      <c r="E2177" s="2"/>
    </row>
    <row r="2178" spans="2:5" x14ac:dyDescent="0.35">
      <c r="B2178" s="1"/>
    </row>
    <row r="2179" spans="2:5" x14ac:dyDescent="0.35">
      <c r="B2179" s="1"/>
      <c r="E2179" s="2"/>
    </row>
    <row r="2180" spans="2:5" x14ac:dyDescent="0.35">
      <c r="B2180" s="1"/>
      <c r="E2180" s="2"/>
    </row>
    <row r="2181" spans="2:5" x14ac:dyDescent="0.35">
      <c r="B2181" s="1"/>
    </row>
    <row r="2182" spans="2:5" x14ac:dyDescent="0.35">
      <c r="B2182" s="1"/>
      <c r="E2182" s="2"/>
    </row>
    <row r="2183" spans="2:5" x14ac:dyDescent="0.35">
      <c r="B2183" s="1"/>
    </row>
    <row r="2184" spans="2:5" x14ac:dyDescent="0.35">
      <c r="B2184" s="1"/>
    </row>
    <row r="2185" spans="2:5" x14ac:dyDescent="0.35">
      <c r="B2185" s="1"/>
      <c r="E2185" s="2"/>
    </row>
    <row r="2186" spans="2:5" x14ac:dyDescent="0.35">
      <c r="B2186" s="1"/>
      <c r="E2186" s="2"/>
    </row>
    <row r="2187" spans="2:5" x14ac:dyDescent="0.35">
      <c r="B2187" s="1"/>
      <c r="E2187" s="2"/>
    </row>
    <row r="2188" spans="2:5" x14ac:dyDescent="0.35">
      <c r="B2188" s="1"/>
    </row>
    <row r="2189" spans="2:5" x14ac:dyDescent="0.35">
      <c r="B2189" s="1"/>
      <c r="E2189" s="2"/>
    </row>
    <row r="2190" spans="2:5" x14ac:dyDescent="0.35">
      <c r="B2190" s="1"/>
      <c r="E2190" s="2"/>
    </row>
    <row r="2191" spans="2:5" x14ac:dyDescent="0.35">
      <c r="B2191" s="1"/>
      <c r="E2191" s="2"/>
    </row>
    <row r="2192" spans="2:5" x14ac:dyDescent="0.35">
      <c r="B2192" s="1"/>
      <c r="E2192" s="2"/>
    </row>
    <row r="2193" spans="2:5" x14ac:dyDescent="0.35">
      <c r="B2193" s="1"/>
    </row>
    <row r="2194" spans="2:5" x14ac:dyDescent="0.35">
      <c r="B2194" s="1"/>
      <c r="E2194" s="2"/>
    </row>
    <row r="2195" spans="2:5" x14ac:dyDescent="0.35">
      <c r="B2195" s="1"/>
      <c r="E2195" s="2"/>
    </row>
    <row r="2196" spans="2:5" x14ac:dyDescent="0.35">
      <c r="B2196" s="1"/>
      <c r="E2196" s="2"/>
    </row>
    <row r="2197" spans="2:5" x14ac:dyDescent="0.35">
      <c r="B2197" s="1"/>
      <c r="E2197" s="2"/>
    </row>
    <row r="2198" spans="2:5" x14ac:dyDescent="0.35">
      <c r="B2198" s="1"/>
    </row>
    <row r="2199" spans="2:5" x14ac:dyDescent="0.35">
      <c r="B2199" s="1"/>
      <c r="E2199" s="2"/>
    </row>
    <row r="2200" spans="2:5" x14ac:dyDescent="0.35">
      <c r="B2200" s="1"/>
    </row>
    <row r="2201" spans="2:5" x14ac:dyDescent="0.35">
      <c r="B2201" s="1"/>
    </row>
    <row r="2202" spans="2:5" x14ac:dyDescent="0.35">
      <c r="B2202" s="1"/>
      <c r="E2202" s="2"/>
    </row>
    <row r="2203" spans="2:5" x14ac:dyDescent="0.35">
      <c r="B2203" s="1"/>
      <c r="E2203" s="2"/>
    </row>
    <row r="2204" spans="2:5" x14ac:dyDescent="0.35">
      <c r="B2204" s="1"/>
      <c r="E2204" s="2"/>
    </row>
    <row r="2205" spans="2:5" x14ac:dyDescent="0.35">
      <c r="B2205" s="1"/>
      <c r="E2205" s="2"/>
    </row>
    <row r="2206" spans="2:5" x14ac:dyDescent="0.35">
      <c r="B2206" s="1"/>
      <c r="E2206" s="2"/>
    </row>
    <row r="2207" spans="2:5" x14ac:dyDescent="0.35">
      <c r="B2207" s="1"/>
      <c r="E2207" s="2"/>
    </row>
    <row r="2208" spans="2:5" x14ac:dyDescent="0.35">
      <c r="B2208" s="1"/>
      <c r="E2208" s="2"/>
    </row>
    <row r="2209" spans="2:5" x14ac:dyDescent="0.35">
      <c r="B2209" s="1"/>
      <c r="E2209" s="2"/>
    </row>
    <row r="2210" spans="2:5" x14ac:dyDescent="0.35">
      <c r="B2210" s="1"/>
    </row>
    <row r="2211" spans="2:5" x14ac:dyDescent="0.35">
      <c r="B2211" s="1"/>
      <c r="E2211" s="2"/>
    </row>
    <row r="2212" spans="2:5" x14ac:dyDescent="0.35">
      <c r="B2212" s="1"/>
      <c r="E2212" s="2"/>
    </row>
    <row r="2213" spans="2:5" x14ac:dyDescent="0.35">
      <c r="B2213" s="1"/>
      <c r="E2213" s="2"/>
    </row>
    <row r="2214" spans="2:5" x14ac:dyDescent="0.35">
      <c r="B2214" s="1"/>
      <c r="E2214" s="2"/>
    </row>
    <row r="2215" spans="2:5" x14ac:dyDescent="0.35">
      <c r="B2215" s="1"/>
      <c r="E2215" s="2"/>
    </row>
    <row r="2216" spans="2:5" x14ac:dyDescent="0.35">
      <c r="B2216" s="1"/>
      <c r="E2216" s="2"/>
    </row>
    <row r="2217" spans="2:5" x14ac:dyDescent="0.35">
      <c r="B2217" s="1"/>
      <c r="E2217" s="2"/>
    </row>
    <row r="2218" spans="2:5" x14ac:dyDescent="0.35">
      <c r="B2218" s="1"/>
    </row>
    <row r="2219" spans="2:5" x14ac:dyDescent="0.35">
      <c r="B2219" s="1"/>
    </row>
    <row r="2220" spans="2:5" x14ac:dyDescent="0.35">
      <c r="B2220" s="1"/>
    </row>
    <row r="2221" spans="2:5" x14ac:dyDescent="0.35">
      <c r="B2221" s="1"/>
    </row>
    <row r="2222" spans="2:5" x14ac:dyDescent="0.35">
      <c r="B2222" s="1"/>
      <c r="E2222" s="2"/>
    </row>
    <row r="2223" spans="2:5" x14ac:dyDescent="0.35">
      <c r="B2223" s="1"/>
      <c r="E2223" s="2"/>
    </row>
    <row r="2224" spans="2:5" x14ac:dyDescent="0.35">
      <c r="B2224" s="1"/>
      <c r="E2224" s="2"/>
    </row>
    <row r="2225" spans="2:5" x14ac:dyDescent="0.35">
      <c r="B2225" s="1"/>
    </row>
    <row r="2226" spans="2:5" x14ac:dyDescent="0.35">
      <c r="B2226" s="1"/>
    </row>
    <row r="2227" spans="2:5" x14ac:dyDescent="0.35">
      <c r="B2227" s="1"/>
      <c r="E2227" s="2"/>
    </row>
    <row r="2228" spans="2:5" x14ac:dyDescent="0.35">
      <c r="B2228" s="1"/>
      <c r="E2228" s="2"/>
    </row>
    <row r="2229" spans="2:5" x14ac:dyDescent="0.35">
      <c r="B2229" s="1"/>
      <c r="E2229" s="2"/>
    </row>
    <row r="2230" spans="2:5" x14ac:dyDescent="0.35">
      <c r="B2230" s="1"/>
      <c r="E2230" s="2"/>
    </row>
    <row r="2231" spans="2:5" x14ac:dyDescent="0.35">
      <c r="B2231" s="1"/>
    </row>
    <row r="2232" spans="2:5" x14ac:dyDescent="0.35">
      <c r="B2232" s="1"/>
    </row>
    <row r="2233" spans="2:5" x14ac:dyDescent="0.35">
      <c r="B2233" s="1"/>
      <c r="E2233" s="2"/>
    </row>
    <row r="2234" spans="2:5" x14ac:dyDescent="0.35">
      <c r="B2234" s="1"/>
      <c r="E2234" s="2"/>
    </row>
    <row r="2235" spans="2:5" x14ac:dyDescent="0.35">
      <c r="B2235" s="1"/>
    </row>
    <row r="2236" spans="2:5" x14ac:dyDescent="0.35">
      <c r="B2236" s="1"/>
    </row>
    <row r="2237" spans="2:5" x14ac:dyDescent="0.35">
      <c r="B2237" s="1"/>
    </row>
    <row r="2238" spans="2:5" x14ac:dyDescent="0.35">
      <c r="B2238" s="1"/>
      <c r="E2238" s="2"/>
    </row>
    <row r="2239" spans="2:5" x14ac:dyDescent="0.35">
      <c r="B2239" s="1"/>
    </row>
    <row r="2240" spans="2:5" x14ac:dyDescent="0.35">
      <c r="B2240" s="1"/>
    </row>
    <row r="2241" spans="2:5" x14ac:dyDescent="0.35">
      <c r="B2241" s="1"/>
    </row>
    <row r="2242" spans="2:5" x14ac:dyDescent="0.35">
      <c r="B2242" s="1"/>
    </row>
    <row r="2243" spans="2:5" x14ac:dyDescent="0.35">
      <c r="B2243" s="1"/>
    </row>
    <row r="2244" spans="2:5" x14ac:dyDescent="0.35">
      <c r="B2244" s="1"/>
    </row>
    <row r="2245" spans="2:5" x14ac:dyDescent="0.35">
      <c r="B2245" s="1"/>
    </row>
    <row r="2246" spans="2:5" x14ac:dyDescent="0.35">
      <c r="B2246" s="1"/>
      <c r="E2246" s="2"/>
    </row>
    <row r="2247" spans="2:5" x14ac:dyDescent="0.35">
      <c r="B2247" s="1"/>
      <c r="E2247" s="2"/>
    </row>
    <row r="2248" spans="2:5" x14ac:dyDescent="0.35">
      <c r="B2248" s="1"/>
      <c r="E2248" s="2"/>
    </row>
    <row r="2249" spans="2:5" x14ac:dyDescent="0.35">
      <c r="B2249" s="1"/>
    </row>
    <row r="2250" spans="2:5" x14ac:dyDescent="0.35">
      <c r="B2250" s="1"/>
    </row>
    <row r="2251" spans="2:5" x14ac:dyDescent="0.35">
      <c r="B2251" s="1"/>
      <c r="E2251" s="2"/>
    </row>
    <row r="2252" spans="2:5" x14ac:dyDescent="0.35">
      <c r="B2252" s="1"/>
    </row>
    <row r="2253" spans="2:5" x14ac:dyDescent="0.35">
      <c r="B2253" s="1"/>
      <c r="E2253" s="2"/>
    </row>
    <row r="2254" spans="2:5" x14ac:dyDescent="0.35">
      <c r="B2254" s="1"/>
    </row>
    <row r="2255" spans="2:5" x14ac:dyDescent="0.35">
      <c r="B2255" s="1"/>
    </row>
    <row r="2256" spans="2:5" x14ac:dyDescent="0.35">
      <c r="B2256" s="1"/>
      <c r="E2256" s="2"/>
    </row>
    <row r="2257" spans="2:5" x14ac:dyDescent="0.35">
      <c r="B2257" s="1"/>
    </row>
    <row r="2258" spans="2:5" x14ac:dyDescent="0.35">
      <c r="B2258" s="1"/>
    </row>
    <row r="2259" spans="2:5" x14ac:dyDescent="0.35">
      <c r="B2259" s="1"/>
      <c r="E2259" s="2"/>
    </row>
    <row r="2260" spans="2:5" x14ac:dyDescent="0.35">
      <c r="B2260" s="1"/>
      <c r="E2260" s="2"/>
    </row>
    <row r="2261" spans="2:5" x14ac:dyDescent="0.35">
      <c r="B2261" s="1"/>
    </row>
    <row r="2262" spans="2:5" x14ac:dyDescent="0.35">
      <c r="B2262" s="1"/>
      <c r="E2262" s="2"/>
    </row>
    <row r="2263" spans="2:5" x14ac:dyDescent="0.35">
      <c r="B2263" s="1"/>
      <c r="E2263" s="2"/>
    </row>
    <row r="2264" spans="2:5" x14ac:dyDescent="0.35">
      <c r="B2264" s="1"/>
    </row>
    <row r="2265" spans="2:5" x14ac:dyDescent="0.35">
      <c r="B2265" s="1"/>
    </row>
    <row r="2266" spans="2:5" x14ac:dyDescent="0.35">
      <c r="B2266" s="1"/>
    </row>
    <row r="2267" spans="2:5" x14ac:dyDescent="0.35">
      <c r="B2267" s="1"/>
    </row>
    <row r="2268" spans="2:5" x14ac:dyDescent="0.35">
      <c r="B2268" s="1"/>
      <c r="E2268" s="2"/>
    </row>
    <row r="2269" spans="2:5" x14ac:dyDescent="0.35">
      <c r="B2269" s="1"/>
      <c r="E2269" s="2"/>
    </row>
    <row r="2270" spans="2:5" x14ac:dyDescent="0.35">
      <c r="B2270" s="1"/>
    </row>
    <row r="2271" spans="2:5" x14ac:dyDescent="0.35">
      <c r="B2271" s="1"/>
    </row>
    <row r="2272" spans="2:5" x14ac:dyDescent="0.35">
      <c r="B2272" s="1"/>
    </row>
    <row r="2273" spans="2:5" x14ac:dyDescent="0.35">
      <c r="B2273" s="1"/>
      <c r="E2273" s="2"/>
    </row>
    <row r="2274" spans="2:5" x14ac:dyDescent="0.35">
      <c r="B2274" s="1"/>
    </row>
    <row r="2275" spans="2:5" x14ac:dyDescent="0.35">
      <c r="B2275" s="1"/>
      <c r="E2275" s="2"/>
    </row>
    <row r="2276" spans="2:5" x14ac:dyDescent="0.35">
      <c r="B2276" s="1"/>
      <c r="E2276" s="2"/>
    </row>
    <row r="2277" spans="2:5" x14ac:dyDescent="0.35">
      <c r="B2277" s="1"/>
      <c r="E2277" s="2"/>
    </row>
    <row r="2278" spans="2:5" x14ac:dyDescent="0.35">
      <c r="B2278" s="1"/>
    </row>
    <row r="2279" spans="2:5" x14ac:dyDescent="0.35">
      <c r="B2279" s="1"/>
      <c r="E2279" s="2"/>
    </row>
    <row r="2280" spans="2:5" x14ac:dyDescent="0.35">
      <c r="B2280" s="1"/>
    </row>
    <row r="2281" spans="2:5" x14ac:dyDescent="0.35">
      <c r="B2281" s="1"/>
    </row>
    <row r="2282" spans="2:5" x14ac:dyDescent="0.35">
      <c r="B2282" s="1"/>
    </row>
    <row r="2283" spans="2:5" x14ac:dyDescent="0.35">
      <c r="B2283" s="1"/>
    </row>
    <row r="2284" spans="2:5" x14ac:dyDescent="0.35">
      <c r="B2284" s="1"/>
      <c r="E2284" s="2"/>
    </row>
    <row r="2285" spans="2:5" x14ac:dyDescent="0.35">
      <c r="B2285" s="1"/>
      <c r="E2285" s="2"/>
    </row>
    <row r="2286" spans="2:5" x14ac:dyDescent="0.35">
      <c r="B2286" s="1"/>
    </row>
    <row r="2287" spans="2:5" x14ac:dyDescent="0.35">
      <c r="B2287" s="1"/>
    </row>
    <row r="2288" spans="2:5" x14ac:dyDescent="0.35">
      <c r="B2288" s="1"/>
      <c r="E2288" s="2"/>
    </row>
    <row r="2289" spans="2:5" x14ac:dyDescent="0.35">
      <c r="B2289" s="1"/>
    </row>
    <row r="2290" spans="2:5" x14ac:dyDescent="0.35">
      <c r="B2290" s="1"/>
      <c r="E2290" s="2"/>
    </row>
    <row r="2291" spans="2:5" x14ac:dyDescent="0.35">
      <c r="B2291" s="1"/>
    </row>
    <row r="2292" spans="2:5" x14ac:dyDescent="0.35">
      <c r="B2292" s="1"/>
      <c r="E2292" s="2"/>
    </row>
    <row r="2293" spans="2:5" x14ac:dyDescent="0.35">
      <c r="B2293" s="1"/>
    </row>
    <row r="2294" spans="2:5" x14ac:dyDescent="0.35">
      <c r="B2294" s="1"/>
      <c r="E2294" s="2"/>
    </row>
    <row r="2295" spans="2:5" x14ac:dyDescent="0.35">
      <c r="B2295" s="1"/>
      <c r="E2295" s="2"/>
    </row>
    <row r="2296" spans="2:5" x14ac:dyDescent="0.35">
      <c r="B2296" s="1"/>
    </row>
    <row r="2297" spans="2:5" x14ac:dyDescent="0.35">
      <c r="B2297" s="1"/>
    </row>
    <row r="2298" spans="2:5" x14ac:dyDescent="0.35">
      <c r="B2298" s="1"/>
    </row>
    <row r="2299" spans="2:5" x14ac:dyDescent="0.35">
      <c r="B2299" s="1"/>
    </row>
    <row r="2300" spans="2:5" x14ac:dyDescent="0.35">
      <c r="B2300" s="1"/>
      <c r="E2300" s="2"/>
    </row>
    <row r="2301" spans="2:5" x14ac:dyDescent="0.35">
      <c r="B2301" s="1"/>
    </row>
    <row r="2302" spans="2:5" x14ac:dyDescent="0.35">
      <c r="B2302" s="1"/>
    </row>
    <row r="2303" spans="2:5" x14ac:dyDescent="0.35">
      <c r="B2303" s="1"/>
    </row>
    <row r="2304" spans="2:5" x14ac:dyDescent="0.35">
      <c r="B2304" s="1"/>
      <c r="E2304" s="2"/>
    </row>
    <row r="2305" spans="2:5" x14ac:dyDescent="0.35">
      <c r="B2305" s="1"/>
      <c r="E2305" s="2"/>
    </row>
    <row r="2306" spans="2:5" x14ac:dyDescent="0.35">
      <c r="B2306" s="1"/>
    </row>
    <row r="2307" spans="2:5" x14ac:dyDescent="0.35">
      <c r="B2307" s="1"/>
      <c r="E2307" s="2"/>
    </row>
    <row r="2308" spans="2:5" x14ac:dyDescent="0.35">
      <c r="B2308" s="1"/>
      <c r="E2308" s="2"/>
    </row>
    <row r="2309" spans="2:5" x14ac:dyDescent="0.35">
      <c r="B2309" s="1"/>
      <c r="E2309" s="2"/>
    </row>
    <row r="2310" spans="2:5" x14ac:dyDescent="0.35">
      <c r="B2310" s="1"/>
    </row>
    <row r="2311" spans="2:5" x14ac:dyDescent="0.35">
      <c r="B2311" s="1"/>
    </row>
    <row r="2312" spans="2:5" x14ac:dyDescent="0.35">
      <c r="B2312" s="1"/>
      <c r="E2312" s="2"/>
    </row>
    <row r="2313" spans="2:5" x14ac:dyDescent="0.35">
      <c r="B2313" s="1"/>
      <c r="E2313" s="2"/>
    </row>
    <row r="2314" spans="2:5" x14ac:dyDescent="0.35">
      <c r="B2314" s="1"/>
      <c r="E2314" s="2"/>
    </row>
    <row r="2315" spans="2:5" x14ac:dyDescent="0.35">
      <c r="B2315" s="1"/>
      <c r="E2315" s="2"/>
    </row>
    <row r="2316" spans="2:5" x14ac:dyDescent="0.35">
      <c r="B2316" s="1"/>
    </row>
    <row r="2317" spans="2:5" x14ac:dyDescent="0.35">
      <c r="B2317" s="1"/>
    </row>
    <row r="2318" spans="2:5" x14ac:dyDescent="0.35">
      <c r="B2318" s="1"/>
    </row>
    <row r="2319" spans="2:5" x14ac:dyDescent="0.35">
      <c r="B2319" s="1"/>
    </row>
    <row r="2320" spans="2:5" x14ac:dyDescent="0.35">
      <c r="B2320" s="1"/>
      <c r="E2320" s="2"/>
    </row>
    <row r="2321" spans="2:5" x14ac:dyDescent="0.35">
      <c r="B2321" s="1"/>
    </row>
    <row r="2322" spans="2:5" x14ac:dyDescent="0.35">
      <c r="B2322" s="1"/>
      <c r="E2322" s="2"/>
    </row>
    <row r="2323" spans="2:5" x14ac:dyDescent="0.35">
      <c r="B2323" s="1"/>
      <c r="E2323" s="2"/>
    </row>
    <row r="2324" spans="2:5" x14ac:dyDescent="0.35">
      <c r="B2324" s="1"/>
      <c r="E2324" s="2"/>
    </row>
    <row r="2325" spans="2:5" x14ac:dyDescent="0.35">
      <c r="B2325" s="1"/>
      <c r="E2325" s="2"/>
    </row>
    <row r="2326" spans="2:5" x14ac:dyDescent="0.35">
      <c r="B2326" s="1"/>
      <c r="E2326" s="2"/>
    </row>
    <row r="2327" spans="2:5" x14ac:dyDescent="0.35">
      <c r="B2327" s="1"/>
    </row>
    <row r="2328" spans="2:5" x14ac:dyDescent="0.35">
      <c r="B2328" s="1"/>
    </row>
    <row r="2329" spans="2:5" x14ac:dyDescent="0.35">
      <c r="B2329" s="1"/>
      <c r="E2329" s="2"/>
    </row>
    <row r="2330" spans="2:5" x14ac:dyDescent="0.35">
      <c r="B2330" s="1"/>
    </row>
    <row r="2331" spans="2:5" x14ac:dyDescent="0.35">
      <c r="B2331" s="1"/>
      <c r="E2331" s="2"/>
    </row>
    <row r="2332" spans="2:5" x14ac:dyDescent="0.35">
      <c r="B2332" s="1"/>
    </row>
    <row r="2333" spans="2:5" x14ac:dyDescent="0.35">
      <c r="B2333" s="1"/>
      <c r="E2333" s="2"/>
    </row>
    <row r="2334" spans="2:5" x14ac:dyDescent="0.35">
      <c r="B2334" s="1"/>
    </row>
    <row r="2335" spans="2:5" x14ac:dyDescent="0.35">
      <c r="B2335" s="1"/>
    </row>
    <row r="2336" spans="2:5" x14ac:dyDescent="0.35">
      <c r="B2336" s="1"/>
      <c r="E2336" s="2"/>
    </row>
    <row r="2337" spans="2:5" x14ac:dyDescent="0.35">
      <c r="B2337" s="1"/>
    </row>
    <row r="2338" spans="2:5" x14ac:dyDescent="0.35">
      <c r="B2338" s="1"/>
      <c r="E2338" s="2"/>
    </row>
    <row r="2339" spans="2:5" x14ac:dyDescent="0.35">
      <c r="B2339" s="1"/>
      <c r="E2339" s="2"/>
    </row>
    <row r="2340" spans="2:5" x14ac:dyDescent="0.35">
      <c r="B2340" s="1"/>
    </row>
    <row r="2341" spans="2:5" x14ac:dyDescent="0.35">
      <c r="B2341" s="1"/>
    </row>
    <row r="2342" spans="2:5" x14ac:dyDescent="0.35">
      <c r="B2342" s="1"/>
      <c r="E2342" s="2"/>
    </row>
    <row r="2343" spans="2:5" x14ac:dyDescent="0.35">
      <c r="B2343" s="1"/>
      <c r="E2343" s="2"/>
    </row>
    <row r="2344" spans="2:5" x14ac:dyDescent="0.35">
      <c r="B2344" s="1"/>
      <c r="E2344" s="2"/>
    </row>
    <row r="2345" spans="2:5" x14ac:dyDescent="0.35">
      <c r="B2345" s="1"/>
      <c r="E2345" s="2"/>
    </row>
    <row r="2346" spans="2:5" x14ac:dyDescent="0.35">
      <c r="B2346" s="1"/>
      <c r="E2346" s="2"/>
    </row>
    <row r="2347" spans="2:5" x14ac:dyDescent="0.35">
      <c r="B2347" s="1"/>
      <c r="E2347" s="2"/>
    </row>
    <row r="2348" spans="2:5" x14ac:dyDescent="0.35">
      <c r="B2348" s="1"/>
    </row>
    <row r="2349" spans="2:5" x14ac:dyDescent="0.35">
      <c r="B2349" s="1"/>
    </row>
    <row r="2350" spans="2:5" x14ac:dyDescent="0.35">
      <c r="B2350" s="1"/>
      <c r="E2350" s="2"/>
    </row>
    <row r="2351" spans="2:5" x14ac:dyDescent="0.35">
      <c r="B2351" s="1"/>
    </row>
    <row r="2352" spans="2:5" x14ac:dyDescent="0.35">
      <c r="B2352" s="1"/>
    </row>
    <row r="2353" spans="2:5" x14ac:dyDescent="0.35">
      <c r="B2353" s="1"/>
      <c r="E2353" s="2"/>
    </row>
    <row r="2354" spans="2:5" x14ac:dyDescent="0.35">
      <c r="B2354" s="1"/>
      <c r="E2354" s="2"/>
    </row>
    <row r="2355" spans="2:5" x14ac:dyDescent="0.35">
      <c r="B2355" s="1"/>
      <c r="E2355" s="2"/>
    </row>
    <row r="2356" spans="2:5" x14ac:dyDescent="0.35">
      <c r="B2356" s="1"/>
      <c r="E2356" s="2"/>
    </row>
    <row r="2357" spans="2:5" x14ac:dyDescent="0.35">
      <c r="B2357" s="1"/>
    </row>
    <row r="2358" spans="2:5" x14ac:dyDescent="0.35">
      <c r="B2358" s="1"/>
      <c r="E2358" s="2"/>
    </row>
    <row r="2359" spans="2:5" x14ac:dyDescent="0.35">
      <c r="B2359" s="1"/>
    </row>
    <row r="2360" spans="2:5" x14ac:dyDescent="0.35">
      <c r="B2360" s="1"/>
      <c r="E2360" s="2"/>
    </row>
    <row r="2361" spans="2:5" x14ac:dyDescent="0.35">
      <c r="B2361" s="1"/>
      <c r="E2361" s="2"/>
    </row>
    <row r="2362" spans="2:5" x14ac:dyDescent="0.35">
      <c r="B2362" s="1"/>
      <c r="E2362" s="2"/>
    </row>
    <row r="2363" spans="2:5" x14ac:dyDescent="0.35">
      <c r="B2363" s="1"/>
    </row>
    <row r="2364" spans="2:5" x14ac:dyDescent="0.35">
      <c r="B2364" s="1"/>
      <c r="E2364" s="2"/>
    </row>
    <row r="2365" spans="2:5" x14ac:dyDescent="0.35">
      <c r="B2365" s="1"/>
    </row>
    <row r="2366" spans="2:5" x14ac:dyDescent="0.35">
      <c r="B2366" s="1"/>
    </row>
    <row r="2367" spans="2:5" x14ac:dyDescent="0.35">
      <c r="B2367" s="1"/>
      <c r="E2367" s="2"/>
    </row>
    <row r="2368" spans="2:5" x14ac:dyDescent="0.35">
      <c r="B2368" s="1"/>
      <c r="E2368" s="2"/>
    </row>
    <row r="2369" spans="2:5" x14ac:dyDescent="0.35">
      <c r="B2369" s="1"/>
    </row>
    <row r="2370" spans="2:5" x14ac:dyDescent="0.35">
      <c r="B2370" s="1"/>
      <c r="E2370" s="2"/>
    </row>
    <row r="2371" spans="2:5" x14ac:dyDescent="0.35">
      <c r="B2371" s="1"/>
    </row>
    <row r="2372" spans="2:5" x14ac:dyDescent="0.35">
      <c r="B2372" s="1"/>
    </row>
    <row r="2373" spans="2:5" x14ac:dyDescent="0.35">
      <c r="B2373" s="1"/>
    </row>
    <row r="2374" spans="2:5" x14ac:dyDescent="0.35">
      <c r="B2374" s="1"/>
    </row>
    <row r="2375" spans="2:5" x14ac:dyDescent="0.35">
      <c r="B2375" s="1"/>
    </row>
    <row r="2376" spans="2:5" x14ac:dyDescent="0.35">
      <c r="B2376" s="1"/>
    </row>
    <row r="2377" spans="2:5" x14ac:dyDescent="0.35">
      <c r="B2377" s="1"/>
    </row>
    <row r="2378" spans="2:5" x14ac:dyDescent="0.35">
      <c r="B2378" s="1"/>
      <c r="E2378" s="2"/>
    </row>
    <row r="2379" spans="2:5" x14ac:dyDescent="0.35">
      <c r="B2379" s="1"/>
      <c r="E2379" s="2"/>
    </row>
    <row r="2380" spans="2:5" x14ac:dyDescent="0.35">
      <c r="B2380" s="1"/>
    </row>
    <row r="2381" spans="2:5" x14ac:dyDescent="0.35">
      <c r="B2381" s="1"/>
      <c r="E2381" s="2"/>
    </row>
    <row r="2382" spans="2:5" x14ac:dyDescent="0.35">
      <c r="B2382" s="1"/>
      <c r="E2382" s="2"/>
    </row>
    <row r="2383" spans="2:5" x14ac:dyDescent="0.35">
      <c r="B2383" s="1"/>
    </row>
    <row r="2384" spans="2:5" x14ac:dyDescent="0.35">
      <c r="B2384" s="1"/>
    </row>
    <row r="2385" spans="2:5" x14ac:dyDescent="0.35">
      <c r="B2385" s="1"/>
    </row>
    <row r="2386" spans="2:5" x14ac:dyDescent="0.35">
      <c r="B2386" s="1"/>
    </row>
    <row r="2387" spans="2:5" x14ac:dyDescent="0.35">
      <c r="B2387" s="1"/>
      <c r="E2387" s="2"/>
    </row>
    <row r="2388" spans="2:5" x14ac:dyDescent="0.35">
      <c r="B2388" s="1"/>
      <c r="E2388" s="2"/>
    </row>
    <row r="2389" spans="2:5" x14ac:dyDescent="0.35">
      <c r="B2389" s="1"/>
      <c r="E2389" s="2"/>
    </row>
    <row r="2390" spans="2:5" x14ac:dyDescent="0.35">
      <c r="B2390" s="1"/>
    </row>
    <row r="2391" spans="2:5" x14ac:dyDescent="0.35">
      <c r="B2391" s="1"/>
      <c r="E2391" s="2"/>
    </row>
    <row r="2392" spans="2:5" x14ac:dyDescent="0.35">
      <c r="B2392" s="1"/>
    </row>
    <row r="2393" spans="2:5" x14ac:dyDescent="0.35">
      <c r="B2393" s="1"/>
      <c r="E2393" s="2"/>
    </row>
    <row r="2394" spans="2:5" x14ac:dyDescent="0.35">
      <c r="B2394" s="1"/>
      <c r="E2394" s="2"/>
    </row>
    <row r="2395" spans="2:5" x14ac:dyDescent="0.35">
      <c r="B2395" s="1"/>
    </row>
    <row r="2396" spans="2:5" x14ac:dyDescent="0.35">
      <c r="B2396" s="1"/>
      <c r="E2396" s="2"/>
    </row>
    <row r="2397" spans="2:5" x14ac:dyDescent="0.35">
      <c r="B2397" s="1"/>
      <c r="E2397" s="2"/>
    </row>
    <row r="2398" spans="2:5" x14ac:dyDescent="0.35">
      <c r="B2398" s="1"/>
      <c r="E2398" s="2"/>
    </row>
    <row r="2399" spans="2:5" x14ac:dyDescent="0.35">
      <c r="B2399" s="1"/>
    </row>
    <row r="2400" spans="2:5" x14ac:dyDescent="0.35">
      <c r="B2400" s="1"/>
      <c r="E2400" s="2"/>
    </row>
    <row r="2401" spans="2:5" x14ac:dyDescent="0.35">
      <c r="B2401" s="1"/>
      <c r="E2401" s="2"/>
    </row>
    <row r="2402" spans="2:5" x14ac:dyDescent="0.35">
      <c r="B2402" s="1"/>
    </row>
    <row r="2403" spans="2:5" x14ac:dyDescent="0.35">
      <c r="B2403" s="1"/>
      <c r="E2403" s="2"/>
    </row>
    <row r="2404" spans="2:5" x14ac:dyDescent="0.35">
      <c r="B2404" s="1"/>
    </row>
    <row r="2405" spans="2:5" x14ac:dyDescent="0.35">
      <c r="B2405" s="1"/>
      <c r="E2405" s="2"/>
    </row>
    <row r="2406" spans="2:5" x14ac:dyDescent="0.35">
      <c r="B2406" s="1"/>
    </row>
    <row r="2407" spans="2:5" x14ac:dyDescent="0.35">
      <c r="B2407" s="1"/>
      <c r="E2407" s="2"/>
    </row>
    <row r="2408" spans="2:5" x14ac:dyDescent="0.35">
      <c r="B2408" s="1"/>
    </row>
    <row r="2409" spans="2:5" x14ac:dyDescent="0.35">
      <c r="B2409" s="1"/>
      <c r="E2409" s="2"/>
    </row>
    <row r="2410" spans="2:5" x14ac:dyDescent="0.35">
      <c r="B2410" s="1"/>
      <c r="E2410" s="2"/>
    </row>
    <row r="2411" spans="2:5" x14ac:dyDescent="0.35">
      <c r="B2411" s="1"/>
    </row>
    <row r="2412" spans="2:5" x14ac:dyDescent="0.35">
      <c r="B2412" s="1"/>
      <c r="E2412" s="2"/>
    </row>
    <row r="2413" spans="2:5" x14ac:dyDescent="0.35">
      <c r="B2413" s="1"/>
      <c r="E2413" s="2"/>
    </row>
    <row r="2414" spans="2:5" x14ac:dyDescent="0.35">
      <c r="B2414" s="1"/>
    </row>
    <row r="2415" spans="2:5" x14ac:dyDescent="0.35">
      <c r="B2415" s="1"/>
    </row>
    <row r="2416" spans="2:5" x14ac:dyDescent="0.35">
      <c r="B2416" s="1"/>
      <c r="E2416" s="2"/>
    </row>
    <row r="2417" spans="2:5" x14ac:dyDescent="0.35">
      <c r="B2417" s="1"/>
      <c r="E2417" s="2"/>
    </row>
    <row r="2418" spans="2:5" x14ac:dyDescent="0.35">
      <c r="B2418" s="1"/>
      <c r="E2418" s="2"/>
    </row>
    <row r="2419" spans="2:5" x14ac:dyDescent="0.35">
      <c r="B2419" s="1"/>
    </row>
    <row r="2420" spans="2:5" x14ac:dyDescent="0.35">
      <c r="B2420" s="1"/>
    </row>
    <row r="2421" spans="2:5" x14ac:dyDescent="0.35">
      <c r="B2421" s="1"/>
      <c r="E2421" s="2"/>
    </row>
    <row r="2422" spans="2:5" x14ac:dyDescent="0.35">
      <c r="B2422" s="1"/>
      <c r="E2422" s="2"/>
    </row>
    <row r="2423" spans="2:5" x14ac:dyDescent="0.35">
      <c r="B2423" s="1"/>
      <c r="E2423" s="2"/>
    </row>
    <row r="2424" spans="2:5" x14ac:dyDescent="0.35">
      <c r="B2424" s="1"/>
    </row>
    <row r="2425" spans="2:5" x14ac:dyDescent="0.35">
      <c r="B2425" s="1"/>
    </row>
    <row r="2426" spans="2:5" x14ac:dyDescent="0.35">
      <c r="B2426" s="1"/>
      <c r="E2426" s="2"/>
    </row>
    <row r="2427" spans="2:5" x14ac:dyDescent="0.35">
      <c r="B2427" s="1"/>
      <c r="E2427" s="2"/>
    </row>
    <row r="2428" spans="2:5" x14ac:dyDescent="0.35">
      <c r="B2428" s="1"/>
      <c r="E2428" s="2"/>
    </row>
    <row r="2429" spans="2:5" x14ac:dyDescent="0.35">
      <c r="B2429" s="1"/>
    </row>
    <row r="2430" spans="2:5" x14ac:dyDescent="0.35">
      <c r="B2430" s="1"/>
    </row>
    <row r="2431" spans="2:5" x14ac:dyDescent="0.35">
      <c r="B2431" s="1"/>
      <c r="E2431" s="2"/>
    </row>
    <row r="2432" spans="2:5" x14ac:dyDescent="0.35">
      <c r="B2432" s="1"/>
      <c r="E2432" s="2"/>
    </row>
    <row r="2433" spans="2:5" x14ac:dyDescent="0.35">
      <c r="B2433" s="1"/>
      <c r="E2433" s="2"/>
    </row>
    <row r="2434" spans="2:5" x14ac:dyDescent="0.35">
      <c r="B2434" s="1"/>
    </row>
    <row r="2435" spans="2:5" x14ac:dyDescent="0.35">
      <c r="B2435" s="1"/>
      <c r="E2435" s="2"/>
    </row>
    <row r="2436" spans="2:5" x14ac:dyDescent="0.35">
      <c r="B2436" s="1"/>
    </row>
    <row r="2437" spans="2:5" x14ac:dyDescent="0.35">
      <c r="B2437" s="1"/>
      <c r="E2437" s="2"/>
    </row>
    <row r="2438" spans="2:5" x14ac:dyDescent="0.35">
      <c r="B2438" s="1"/>
    </row>
    <row r="2439" spans="2:5" x14ac:dyDescent="0.35">
      <c r="B2439" s="1"/>
    </row>
    <row r="2440" spans="2:5" x14ac:dyDescent="0.35">
      <c r="B2440" s="1"/>
    </row>
    <row r="2441" spans="2:5" x14ac:dyDescent="0.35">
      <c r="B2441" s="1"/>
    </row>
    <row r="2442" spans="2:5" x14ac:dyDescent="0.35">
      <c r="B2442" s="1"/>
    </row>
    <row r="2443" spans="2:5" x14ac:dyDescent="0.35">
      <c r="B2443" s="1"/>
    </row>
    <row r="2444" spans="2:5" x14ac:dyDescent="0.35">
      <c r="B2444" s="1"/>
    </row>
    <row r="2445" spans="2:5" x14ac:dyDescent="0.35">
      <c r="B2445" s="1"/>
      <c r="E2445" s="2"/>
    </row>
    <row r="2446" spans="2:5" x14ac:dyDescent="0.35">
      <c r="B2446" s="1"/>
      <c r="E2446" s="2"/>
    </row>
    <row r="2447" spans="2:5" x14ac:dyDescent="0.35">
      <c r="B2447" s="1"/>
      <c r="E2447" s="2"/>
    </row>
    <row r="2448" spans="2:5" x14ac:dyDescent="0.35">
      <c r="B2448" s="1"/>
    </row>
    <row r="2449" spans="2:5" x14ac:dyDescent="0.35">
      <c r="B2449" s="1"/>
    </row>
    <row r="2450" spans="2:5" x14ac:dyDescent="0.35">
      <c r="B2450" s="1"/>
      <c r="E2450" s="2"/>
    </row>
    <row r="2451" spans="2:5" x14ac:dyDescent="0.35">
      <c r="B2451" s="1"/>
      <c r="E2451" s="2"/>
    </row>
    <row r="2452" spans="2:5" x14ac:dyDescent="0.35">
      <c r="B2452" s="1"/>
      <c r="E2452" s="2"/>
    </row>
    <row r="2453" spans="2:5" x14ac:dyDescent="0.35">
      <c r="B2453" s="1"/>
      <c r="E2453" s="2"/>
    </row>
    <row r="2454" spans="2:5" x14ac:dyDescent="0.35">
      <c r="B2454" s="1"/>
    </row>
    <row r="2455" spans="2:5" x14ac:dyDescent="0.35">
      <c r="B2455" s="1"/>
      <c r="E2455" s="2"/>
    </row>
    <row r="2456" spans="2:5" x14ac:dyDescent="0.35">
      <c r="B2456" s="1"/>
    </row>
    <row r="2457" spans="2:5" x14ac:dyDescent="0.35">
      <c r="B2457" s="1"/>
      <c r="E2457" s="2"/>
    </row>
    <row r="2458" spans="2:5" x14ac:dyDescent="0.35">
      <c r="B2458" s="1"/>
      <c r="E2458" s="2"/>
    </row>
    <row r="2459" spans="2:5" x14ac:dyDescent="0.35">
      <c r="B2459" s="1"/>
      <c r="E2459" s="2"/>
    </row>
    <row r="2460" spans="2:5" x14ac:dyDescent="0.35">
      <c r="B2460" s="1"/>
      <c r="E2460" s="2"/>
    </row>
    <row r="2461" spans="2:5" x14ac:dyDescent="0.35">
      <c r="B2461" s="1"/>
    </row>
    <row r="2462" spans="2:5" x14ac:dyDescent="0.35">
      <c r="B2462" s="1"/>
      <c r="E2462" s="2"/>
    </row>
    <row r="2463" spans="2:5" x14ac:dyDescent="0.35">
      <c r="B2463" s="1"/>
      <c r="E2463" s="2"/>
    </row>
    <row r="2464" spans="2:5" x14ac:dyDescent="0.35">
      <c r="B2464" s="1"/>
    </row>
    <row r="2465" spans="2:5" x14ac:dyDescent="0.35">
      <c r="B2465" s="1"/>
      <c r="E2465" s="2"/>
    </row>
    <row r="2466" spans="2:5" x14ac:dyDescent="0.35">
      <c r="B2466" s="1"/>
      <c r="E2466" s="2"/>
    </row>
    <row r="2467" spans="2:5" x14ac:dyDescent="0.35">
      <c r="B2467" s="1"/>
      <c r="E2467" s="2"/>
    </row>
    <row r="2468" spans="2:5" x14ac:dyDescent="0.35">
      <c r="B2468" s="1"/>
    </row>
    <row r="2469" spans="2:5" x14ac:dyDescent="0.35">
      <c r="B2469" s="1"/>
    </row>
    <row r="2470" spans="2:5" x14ac:dyDescent="0.35">
      <c r="B2470" s="1"/>
      <c r="E2470" s="2"/>
    </row>
    <row r="2471" spans="2:5" x14ac:dyDescent="0.35">
      <c r="B2471" s="1"/>
      <c r="E2471" s="2"/>
    </row>
    <row r="2472" spans="2:5" x14ac:dyDescent="0.35">
      <c r="B2472" s="1"/>
      <c r="E2472" s="2"/>
    </row>
    <row r="2473" spans="2:5" x14ac:dyDescent="0.35">
      <c r="B2473" s="1"/>
      <c r="E2473" s="2"/>
    </row>
    <row r="2474" spans="2:5" x14ac:dyDescent="0.35">
      <c r="B2474" s="1"/>
    </row>
    <row r="2475" spans="2:5" x14ac:dyDescent="0.35">
      <c r="B2475" s="1"/>
      <c r="E2475" s="2"/>
    </row>
    <row r="2476" spans="2:5" x14ac:dyDescent="0.35">
      <c r="B2476" s="1"/>
    </row>
    <row r="2477" spans="2:5" x14ac:dyDescent="0.35">
      <c r="B2477" s="1"/>
    </row>
    <row r="2478" spans="2:5" x14ac:dyDescent="0.35">
      <c r="B2478" s="1"/>
    </row>
    <row r="2479" spans="2:5" x14ac:dyDescent="0.35">
      <c r="B2479" s="1"/>
      <c r="E2479" s="2"/>
    </row>
    <row r="2480" spans="2:5" x14ac:dyDescent="0.35">
      <c r="B2480" s="1"/>
      <c r="E2480" s="2"/>
    </row>
    <row r="2481" spans="2:5" x14ac:dyDescent="0.35">
      <c r="B2481" s="1"/>
    </row>
    <row r="2482" spans="2:5" x14ac:dyDescent="0.35">
      <c r="B2482" s="1"/>
      <c r="E2482" s="2"/>
    </row>
    <row r="2483" spans="2:5" x14ac:dyDescent="0.35">
      <c r="B2483" s="1"/>
    </row>
    <row r="2484" spans="2:5" x14ac:dyDescent="0.35">
      <c r="B2484" s="1"/>
      <c r="E2484" s="2"/>
    </row>
    <row r="2485" spans="2:5" x14ac:dyDescent="0.35">
      <c r="B2485" s="1"/>
    </row>
    <row r="2486" spans="2:5" x14ac:dyDescent="0.35">
      <c r="B2486" s="1"/>
    </row>
    <row r="2487" spans="2:5" x14ac:dyDescent="0.35">
      <c r="B2487" s="1"/>
    </row>
    <row r="2488" spans="2:5" x14ac:dyDescent="0.35">
      <c r="B2488" s="1"/>
      <c r="E2488" s="2"/>
    </row>
    <row r="2489" spans="2:5" x14ac:dyDescent="0.35">
      <c r="B2489" s="1"/>
      <c r="E2489" s="2"/>
    </row>
    <row r="2490" spans="2:5" x14ac:dyDescent="0.35">
      <c r="B2490" s="1"/>
      <c r="E2490" s="2"/>
    </row>
    <row r="2491" spans="2:5" x14ac:dyDescent="0.35">
      <c r="B2491" s="1"/>
    </row>
    <row r="2492" spans="2:5" x14ac:dyDescent="0.35">
      <c r="B2492" s="1"/>
    </row>
    <row r="2493" spans="2:5" x14ac:dyDescent="0.35">
      <c r="B2493" s="1"/>
    </row>
    <row r="2494" spans="2:5" x14ac:dyDescent="0.35">
      <c r="B2494" s="1"/>
      <c r="E2494" s="2"/>
    </row>
    <row r="2495" spans="2:5" x14ac:dyDescent="0.35">
      <c r="B2495" s="1"/>
    </row>
    <row r="2496" spans="2:5" x14ac:dyDescent="0.35">
      <c r="B2496" s="1"/>
      <c r="E2496" s="2"/>
    </row>
    <row r="2497" spans="2:5" x14ac:dyDescent="0.35">
      <c r="B2497" s="1"/>
    </row>
    <row r="2498" spans="2:5" x14ac:dyDescent="0.35">
      <c r="B2498" s="1"/>
      <c r="E2498" s="2"/>
    </row>
    <row r="2499" spans="2:5" x14ac:dyDescent="0.35">
      <c r="B2499" s="1"/>
    </row>
    <row r="2500" spans="2:5" x14ac:dyDescent="0.35">
      <c r="B2500" s="1"/>
      <c r="E2500" s="2"/>
    </row>
    <row r="2501" spans="2:5" x14ac:dyDescent="0.35">
      <c r="B2501" s="1"/>
      <c r="E2501" s="2"/>
    </row>
    <row r="2502" spans="2:5" x14ac:dyDescent="0.35">
      <c r="B2502" s="1"/>
    </row>
    <row r="2503" spans="2:5" x14ac:dyDescent="0.35">
      <c r="B2503" s="1"/>
    </row>
    <row r="2504" spans="2:5" x14ac:dyDescent="0.35">
      <c r="B2504" s="1"/>
    </row>
    <row r="2505" spans="2:5" x14ac:dyDescent="0.35">
      <c r="B2505" s="1"/>
      <c r="E2505" s="2"/>
    </row>
    <row r="2506" spans="2:5" x14ac:dyDescent="0.35">
      <c r="B2506" s="1"/>
      <c r="E2506" s="2"/>
    </row>
    <row r="2507" spans="2:5" x14ac:dyDescent="0.35">
      <c r="B2507" s="1"/>
    </row>
    <row r="2508" spans="2:5" x14ac:dyDescent="0.35">
      <c r="B2508" s="1"/>
      <c r="E2508" s="2"/>
    </row>
    <row r="2509" spans="2:5" x14ac:dyDescent="0.35">
      <c r="B2509" s="1"/>
    </row>
    <row r="2510" spans="2:5" x14ac:dyDescent="0.35">
      <c r="B2510" s="1"/>
      <c r="E2510" s="2"/>
    </row>
    <row r="2511" spans="2:5" x14ac:dyDescent="0.35">
      <c r="B2511" s="1"/>
    </row>
    <row r="2512" spans="2:5" x14ac:dyDescent="0.35">
      <c r="B2512" s="1"/>
      <c r="E2512" s="2"/>
    </row>
    <row r="2513" spans="2:5" x14ac:dyDescent="0.35">
      <c r="B2513" s="1"/>
      <c r="E2513" s="2"/>
    </row>
    <row r="2514" spans="2:5" x14ac:dyDescent="0.35">
      <c r="B2514" s="1"/>
    </row>
    <row r="2515" spans="2:5" x14ac:dyDescent="0.35">
      <c r="B2515" s="1"/>
      <c r="E2515" s="2"/>
    </row>
    <row r="2516" spans="2:5" x14ac:dyDescent="0.35">
      <c r="B2516" s="1"/>
    </row>
    <row r="2517" spans="2:5" x14ac:dyDescent="0.35">
      <c r="B2517" s="1"/>
      <c r="E2517" s="2"/>
    </row>
    <row r="2518" spans="2:5" x14ac:dyDescent="0.35">
      <c r="B2518" s="1"/>
    </row>
    <row r="2519" spans="2:5" x14ac:dyDescent="0.35">
      <c r="B2519" s="1"/>
      <c r="E2519" s="2"/>
    </row>
    <row r="2520" spans="2:5" x14ac:dyDescent="0.35">
      <c r="B2520" s="1"/>
      <c r="E2520" s="2"/>
    </row>
    <row r="2521" spans="2:5" x14ac:dyDescent="0.35">
      <c r="B2521" s="1"/>
      <c r="E2521" s="2"/>
    </row>
    <row r="2522" spans="2:5" x14ac:dyDescent="0.35">
      <c r="B2522" s="1"/>
    </row>
    <row r="2523" spans="2:5" x14ac:dyDescent="0.35">
      <c r="B2523" s="1"/>
    </row>
    <row r="2524" spans="2:5" x14ac:dyDescent="0.35">
      <c r="B2524" s="1"/>
      <c r="E2524" s="2"/>
    </row>
    <row r="2525" spans="2:5" x14ac:dyDescent="0.35">
      <c r="B2525" s="1"/>
    </row>
    <row r="2526" spans="2:5" x14ac:dyDescent="0.35">
      <c r="B2526" s="1"/>
      <c r="E2526" s="2"/>
    </row>
    <row r="2527" spans="2:5" x14ac:dyDescent="0.35">
      <c r="B2527" s="1"/>
      <c r="E2527" s="2"/>
    </row>
    <row r="2528" spans="2:5" x14ac:dyDescent="0.35">
      <c r="B2528" s="1"/>
    </row>
    <row r="2529" spans="2:5" x14ac:dyDescent="0.35">
      <c r="B2529" s="1"/>
      <c r="E2529" s="2"/>
    </row>
    <row r="2530" spans="2:5" x14ac:dyDescent="0.35">
      <c r="B2530" s="1"/>
      <c r="E2530" s="2"/>
    </row>
    <row r="2531" spans="2:5" x14ac:dyDescent="0.35">
      <c r="B2531" s="1"/>
      <c r="E2531" s="2"/>
    </row>
    <row r="2532" spans="2:5" x14ac:dyDescent="0.35">
      <c r="B2532" s="1"/>
    </row>
    <row r="2533" spans="2:5" x14ac:dyDescent="0.35">
      <c r="B2533" s="1"/>
      <c r="E2533" s="2"/>
    </row>
    <row r="2534" spans="2:5" x14ac:dyDescent="0.35">
      <c r="B2534" s="1"/>
      <c r="E2534" s="2"/>
    </row>
    <row r="2535" spans="2:5" x14ac:dyDescent="0.35">
      <c r="B2535" s="1"/>
    </row>
    <row r="2536" spans="2:5" x14ac:dyDescent="0.35">
      <c r="B2536" s="1"/>
    </row>
    <row r="2537" spans="2:5" x14ac:dyDescent="0.35">
      <c r="B2537" s="1"/>
      <c r="E2537" s="2"/>
    </row>
    <row r="2538" spans="2:5" x14ac:dyDescent="0.35">
      <c r="B2538" s="1"/>
    </row>
    <row r="2539" spans="2:5" x14ac:dyDescent="0.35">
      <c r="B2539" s="1"/>
      <c r="E2539" s="2"/>
    </row>
    <row r="2540" spans="2:5" x14ac:dyDescent="0.35">
      <c r="B2540" s="1"/>
    </row>
    <row r="2541" spans="2:5" x14ac:dyDescent="0.35">
      <c r="B2541" s="1"/>
      <c r="E2541" s="2"/>
    </row>
    <row r="2542" spans="2:5" x14ac:dyDescent="0.35">
      <c r="B2542" s="1"/>
    </row>
    <row r="2543" spans="2:5" x14ac:dyDescent="0.35">
      <c r="B2543" s="1"/>
    </row>
    <row r="2544" spans="2:5" x14ac:dyDescent="0.35">
      <c r="B2544" s="1"/>
    </row>
    <row r="2545" spans="2:5" x14ac:dyDescent="0.35">
      <c r="B2545" s="1"/>
    </row>
    <row r="2546" spans="2:5" x14ac:dyDescent="0.35">
      <c r="B2546" s="1"/>
      <c r="E2546" s="2"/>
    </row>
    <row r="2547" spans="2:5" x14ac:dyDescent="0.35">
      <c r="B2547" s="1"/>
    </row>
    <row r="2548" spans="2:5" x14ac:dyDescent="0.35">
      <c r="B2548" s="1"/>
    </row>
    <row r="2549" spans="2:5" x14ac:dyDescent="0.35">
      <c r="B2549" s="1"/>
    </row>
    <row r="2550" spans="2:5" x14ac:dyDescent="0.35">
      <c r="B2550" s="1"/>
    </row>
    <row r="2551" spans="2:5" x14ac:dyDescent="0.35">
      <c r="B2551" s="1"/>
    </row>
    <row r="2552" spans="2:5" x14ac:dyDescent="0.35">
      <c r="B2552" s="1"/>
      <c r="E2552" s="2"/>
    </row>
    <row r="2553" spans="2:5" x14ac:dyDescent="0.35">
      <c r="B2553" s="1"/>
    </row>
    <row r="2554" spans="2:5" x14ac:dyDescent="0.35">
      <c r="B2554" s="1"/>
    </row>
    <row r="2555" spans="2:5" x14ac:dyDescent="0.35">
      <c r="B2555" s="1"/>
      <c r="E2555" s="2"/>
    </row>
    <row r="2556" spans="2:5" x14ac:dyDescent="0.35">
      <c r="B2556" s="1"/>
      <c r="E2556" s="2"/>
    </row>
    <row r="2557" spans="2:5" x14ac:dyDescent="0.35">
      <c r="B2557" s="1"/>
      <c r="E2557" s="2"/>
    </row>
    <row r="2558" spans="2:5" x14ac:dyDescent="0.35">
      <c r="B2558" s="1"/>
      <c r="E2558" s="2"/>
    </row>
    <row r="2559" spans="2:5" x14ac:dyDescent="0.35">
      <c r="B2559" s="1"/>
    </row>
    <row r="2560" spans="2:5" x14ac:dyDescent="0.35">
      <c r="B2560" s="1"/>
      <c r="E2560" s="2"/>
    </row>
    <row r="2561" spans="2:5" x14ac:dyDescent="0.35">
      <c r="B2561" s="1"/>
      <c r="E2561" s="2"/>
    </row>
    <row r="2562" spans="2:5" x14ac:dyDescent="0.35">
      <c r="B2562" s="1"/>
    </row>
    <row r="2563" spans="2:5" x14ac:dyDescent="0.35">
      <c r="B2563" s="1"/>
      <c r="E2563" s="2"/>
    </row>
    <row r="2564" spans="2:5" x14ac:dyDescent="0.35">
      <c r="B2564" s="1"/>
    </row>
    <row r="2565" spans="2:5" x14ac:dyDescent="0.35">
      <c r="B2565" s="1"/>
    </row>
    <row r="2566" spans="2:5" x14ac:dyDescent="0.35">
      <c r="B2566" s="1"/>
    </row>
    <row r="2567" spans="2:5" x14ac:dyDescent="0.35">
      <c r="B2567" s="1"/>
    </row>
    <row r="2568" spans="2:5" x14ac:dyDescent="0.35">
      <c r="B2568" s="1"/>
    </row>
    <row r="2569" spans="2:5" x14ac:dyDescent="0.35">
      <c r="B2569" s="1"/>
      <c r="E2569" s="2"/>
    </row>
    <row r="2570" spans="2:5" x14ac:dyDescent="0.35">
      <c r="B2570" s="1"/>
    </row>
    <row r="2571" spans="2:5" x14ac:dyDescent="0.35">
      <c r="B2571" s="1"/>
    </row>
    <row r="2572" spans="2:5" x14ac:dyDescent="0.35">
      <c r="B2572" s="1"/>
      <c r="E2572" s="2"/>
    </row>
    <row r="2573" spans="2:5" x14ac:dyDescent="0.35">
      <c r="B2573" s="1"/>
    </row>
    <row r="2574" spans="2:5" x14ac:dyDescent="0.35">
      <c r="B2574" s="1"/>
    </row>
    <row r="2575" spans="2:5" x14ac:dyDescent="0.35">
      <c r="B2575" s="1"/>
    </row>
    <row r="2576" spans="2:5" x14ac:dyDescent="0.35">
      <c r="B2576" s="1"/>
      <c r="E2576" s="2"/>
    </row>
    <row r="2577" spans="2:5" x14ac:dyDescent="0.35">
      <c r="B2577" s="1"/>
    </row>
    <row r="2578" spans="2:5" x14ac:dyDescent="0.35">
      <c r="B2578" s="1"/>
      <c r="E2578" s="2"/>
    </row>
    <row r="2579" spans="2:5" x14ac:dyDescent="0.35">
      <c r="B2579" s="1"/>
      <c r="E2579" s="2"/>
    </row>
    <row r="2580" spans="2:5" x14ac:dyDescent="0.35">
      <c r="B2580" s="1"/>
    </row>
    <row r="2581" spans="2:5" x14ac:dyDescent="0.35">
      <c r="B2581" s="1"/>
    </row>
    <row r="2582" spans="2:5" x14ac:dyDescent="0.35">
      <c r="B2582" s="1"/>
    </row>
    <row r="2583" spans="2:5" x14ac:dyDescent="0.35">
      <c r="B2583" s="1"/>
      <c r="E2583" s="2"/>
    </row>
    <row r="2584" spans="2:5" x14ac:dyDescent="0.35">
      <c r="B2584" s="1"/>
      <c r="E2584" s="2"/>
    </row>
    <row r="2585" spans="2:5" x14ac:dyDescent="0.35">
      <c r="B2585" s="1"/>
    </row>
    <row r="2586" spans="2:5" x14ac:dyDescent="0.35">
      <c r="B2586" s="1"/>
      <c r="E2586" s="2"/>
    </row>
    <row r="2587" spans="2:5" x14ac:dyDescent="0.35">
      <c r="B2587" s="1"/>
      <c r="E2587" s="2"/>
    </row>
    <row r="2588" spans="2:5" x14ac:dyDescent="0.35">
      <c r="B2588" s="1"/>
      <c r="E2588" s="2"/>
    </row>
    <row r="2589" spans="2:5" x14ac:dyDescent="0.35">
      <c r="B2589" s="1"/>
      <c r="E2589" s="2"/>
    </row>
    <row r="2590" spans="2:5" x14ac:dyDescent="0.35">
      <c r="B2590" s="1"/>
    </row>
    <row r="2591" spans="2:5" x14ac:dyDescent="0.35">
      <c r="B2591" s="1"/>
    </row>
    <row r="2592" spans="2:5" x14ac:dyDescent="0.35">
      <c r="B2592" s="1"/>
      <c r="E2592" s="2"/>
    </row>
    <row r="2593" spans="2:5" x14ac:dyDescent="0.35">
      <c r="B2593" s="1"/>
      <c r="E2593" s="2"/>
    </row>
    <row r="2594" spans="2:5" x14ac:dyDescent="0.35">
      <c r="B2594" s="1"/>
    </row>
    <row r="2595" spans="2:5" x14ac:dyDescent="0.35">
      <c r="B2595" s="1"/>
    </row>
    <row r="2596" spans="2:5" x14ac:dyDescent="0.35">
      <c r="B2596" s="1"/>
      <c r="E2596" s="2"/>
    </row>
    <row r="2597" spans="2:5" x14ac:dyDescent="0.35">
      <c r="B2597" s="1"/>
    </row>
    <row r="2598" spans="2:5" x14ac:dyDescent="0.35">
      <c r="B2598" s="1"/>
    </row>
    <row r="2599" spans="2:5" x14ac:dyDescent="0.35">
      <c r="B2599" s="1"/>
    </row>
    <row r="2600" spans="2:5" x14ac:dyDescent="0.35">
      <c r="B2600" s="1"/>
      <c r="E2600" s="2"/>
    </row>
    <row r="2601" spans="2:5" x14ac:dyDescent="0.35">
      <c r="B2601" s="1"/>
      <c r="E2601" s="2"/>
    </row>
    <row r="2602" spans="2:5" x14ac:dyDescent="0.35">
      <c r="B2602" s="1"/>
    </row>
    <row r="2603" spans="2:5" x14ac:dyDescent="0.35">
      <c r="B2603" s="1"/>
    </row>
    <row r="2604" spans="2:5" x14ac:dyDescent="0.35">
      <c r="B2604" s="1"/>
    </row>
    <row r="2605" spans="2:5" x14ac:dyDescent="0.35">
      <c r="B2605" s="1"/>
      <c r="E2605" s="2"/>
    </row>
    <row r="2606" spans="2:5" x14ac:dyDescent="0.35">
      <c r="B2606" s="1"/>
      <c r="E2606" s="2"/>
    </row>
    <row r="2607" spans="2:5" x14ac:dyDescent="0.35">
      <c r="B2607" s="1"/>
    </row>
    <row r="2608" spans="2:5" x14ac:dyDescent="0.35">
      <c r="B2608" s="1"/>
      <c r="E2608" s="2"/>
    </row>
    <row r="2609" spans="2:5" x14ac:dyDescent="0.35">
      <c r="B2609" s="1"/>
      <c r="E2609" s="2"/>
    </row>
    <row r="2610" spans="2:5" x14ac:dyDescent="0.35">
      <c r="B2610" s="1"/>
      <c r="E2610" s="2"/>
    </row>
    <row r="2611" spans="2:5" x14ac:dyDescent="0.35">
      <c r="B2611" s="1"/>
    </row>
    <row r="2612" spans="2:5" x14ac:dyDescent="0.35">
      <c r="B2612" s="1"/>
    </row>
    <row r="2613" spans="2:5" x14ac:dyDescent="0.35">
      <c r="B2613" s="1"/>
      <c r="E2613" s="2"/>
    </row>
    <row r="2614" spans="2:5" x14ac:dyDescent="0.35">
      <c r="B2614" s="1"/>
      <c r="E2614" s="2"/>
    </row>
    <row r="2615" spans="2:5" x14ac:dyDescent="0.35">
      <c r="B2615" s="1"/>
    </row>
    <row r="2616" spans="2:5" x14ac:dyDescent="0.35">
      <c r="B2616" s="1"/>
    </row>
    <row r="2617" spans="2:5" x14ac:dyDescent="0.35">
      <c r="B2617" s="1"/>
      <c r="E2617" s="2"/>
    </row>
    <row r="2618" spans="2:5" x14ac:dyDescent="0.35">
      <c r="B2618" s="1"/>
    </row>
    <row r="2619" spans="2:5" x14ac:dyDescent="0.35">
      <c r="B2619" s="1"/>
      <c r="E2619" s="2"/>
    </row>
    <row r="2620" spans="2:5" x14ac:dyDescent="0.35">
      <c r="B2620" s="1"/>
    </row>
    <row r="2621" spans="2:5" x14ac:dyDescent="0.35">
      <c r="B2621" s="1"/>
      <c r="E2621" s="2"/>
    </row>
    <row r="2622" spans="2:5" x14ac:dyDescent="0.35">
      <c r="B2622" s="1"/>
    </row>
    <row r="2623" spans="2:5" x14ac:dyDescent="0.35">
      <c r="B2623" s="1"/>
    </row>
    <row r="2624" spans="2:5" x14ac:dyDescent="0.35">
      <c r="B2624" s="1"/>
      <c r="E2624" s="2"/>
    </row>
    <row r="2625" spans="2:5" x14ac:dyDescent="0.35">
      <c r="B2625" s="1"/>
      <c r="E2625" s="2"/>
    </row>
    <row r="2626" spans="2:5" x14ac:dyDescent="0.35">
      <c r="B2626" s="1"/>
      <c r="E2626" s="2"/>
    </row>
    <row r="2627" spans="2:5" x14ac:dyDescent="0.35">
      <c r="B2627" s="1"/>
      <c r="E2627" s="2"/>
    </row>
    <row r="2628" spans="2:5" x14ac:dyDescent="0.35">
      <c r="B2628" s="1"/>
    </row>
    <row r="2629" spans="2:5" x14ac:dyDescent="0.35">
      <c r="B2629" s="1"/>
    </row>
    <row r="2630" spans="2:5" x14ac:dyDescent="0.35">
      <c r="B2630" s="1"/>
      <c r="E2630" s="2"/>
    </row>
    <row r="2631" spans="2:5" x14ac:dyDescent="0.35">
      <c r="B2631" s="1"/>
      <c r="E2631" s="2"/>
    </row>
    <row r="2632" spans="2:5" x14ac:dyDescent="0.35">
      <c r="B2632" s="1"/>
      <c r="E2632" s="2"/>
    </row>
    <row r="2633" spans="2:5" x14ac:dyDescent="0.35">
      <c r="B2633" s="1"/>
    </row>
    <row r="2634" spans="2:5" x14ac:dyDescent="0.35">
      <c r="B2634" s="1"/>
    </row>
    <row r="2635" spans="2:5" x14ac:dyDescent="0.35">
      <c r="B2635" s="1"/>
      <c r="E2635" s="2"/>
    </row>
    <row r="2636" spans="2:5" x14ac:dyDescent="0.35">
      <c r="B2636" s="1"/>
    </row>
    <row r="2637" spans="2:5" x14ac:dyDescent="0.35">
      <c r="B2637" s="1"/>
    </row>
    <row r="2638" spans="2:5" x14ac:dyDescent="0.35">
      <c r="B2638" s="1"/>
    </row>
    <row r="2639" spans="2:5" x14ac:dyDescent="0.35">
      <c r="B2639" s="1"/>
    </row>
    <row r="2640" spans="2:5" x14ac:dyDescent="0.35">
      <c r="B2640" s="1"/>
    </row>
    <row r="2641" spans="2:5" x14ac:dyDescent="0.35">
      <c r="B2641" s="1"/>
      <c r="E2641" s="2"/>
    </row>
    <row r="2642" spans="2:5" x14ac:dyDescent="0.35">
      <c r="B2642" s="1"/>
    </row>
    <row r="2643" spans="2:5" x14ac:dyDescent="0.35">
      <c r="B2643" s="1"/>
      <c r="E2643" s="2"/>
    </row>
    <row r="2644" spans="2:5" x14ac:dyDescent="0.35">
      <c r="B2644" s="1"/>
    </row>
    <row r="2645" spans="2:5" x14ac:dyDescent="0.35">
      <c r="B2645" s="1"/>
      <c r="E2645" s="2"/>
    </row>
    <row r="2646" spans="2:5" x14ac:dyDescent="0.35">
      <c r="B2646" s="1"/>
      <c r="E2646" s="2"/>
    </row>
    <row r="2647" spans="2:5" x14ac:dyDescent="0.35">
      <c r="B2647" s="1"/>
      <c r="E2647" s="2"/>
    </row>
    <row r="2648" spans="2:5" x14ac:dyDescent="0.35">
      <c r="B2648" s="1"/>
    </row>
    <row r="2649" spans="2:5" x14ac:dyDescent="0.35">
      <c r="B2649" s="1"/>
    </row>
    <row r="2650" spans="2:5" x14ac:dyDescent="0.35">
      <c r="B2650" s="1"/>
      <c r="E2650" s="2"/>
    </row>
    <row r="2651" spans="2:5" x14ac:dyDescent="0.35">
      <c r="B2651" s="1"/>
      <c r="E2651" s="2"/>
    </row>
    <row r="2652" spans="2:5" x14ac:dyDescent="0.35">
      <c r="B2652" s="1"/>
      <c r="E2652" s="2"/>
    </row>
    <row r="2653" spans="2:5" x14ac:dyDescent="0.35">
      <c r="B2653" s="1"/>
      <c r="E2653" s="2"/>
    </row>
    <row r="2654" spans="2:5" x14ac:dyDescent="0.35">
      <c r="B2654" s="1"/>
    </row>
    <row r="2655" spans="2:5" x14ac:dyDescent="0.35">
      <c r="B2655" s="1"/>
      <c r="E2655" s="2"/>
    </row>
    <row r="2656" spans="2:5" x14ac:dyDescent="0.35">
      <c r="B2656" s="1"/>
    </row>
    <row r="2657" spans="2:5" x14ac:dyDescent="0.35">
      <c r="B2657" s="1"/>
    </row>
    <row r="2658" spans="2:5" x14ac:dyDescent="0.35">
      <c r="B2658" s="1"/>
      <c r="E2658" s="2"/>
    </row>
    <row r="2659" spans="2:5" x14ac:dyDescent="0.35">
      <c r="B2659" s="1"/>
      <c r="E2659" s="2"/>
    </row>
    <row r="2660" spans="2:5" x14ac:dyDescent="0.35">
      <c r="B2660" s="1"/>
    </row>
    <row r="2661" spans="2:5" x14ac:dyDescent="0.35">
      <c r="B2661" s="1"/>
    </row>
    <row r="2662" spans="2:5" x14ac:dyDescent="0.35">
      <c r="B2662" s="1"/>
      <c r="E2662" s="2"/>
    </row>
    <row r="2663" spans="2:5" x14ac:dyDescent="0.35">
      <c r="B2663" s="1"/>
      <c r="E2663" s="2"/>
    </row>
    <row r="2664" spans="2:5" x14ac:dyDescent="0.35">
      <c r="B2664" s="1"/>
    </row>
    <row r="2665" spans="2:5" x14ac:dyDescent="0.35">
      <c r="B2665" s="1"/>
      <c r="E2665" s="2"/>
    </row>
    <row r="2666" spans="2:5" x14ac:dyDescent="0.35">
      <c r="B2666" s="1"/>
    </row>
    <row r="2667" spans="2:5" x14ac:dyDescent="0.35">
      <c r="B2667" s="1"/>
      <c r="E2667" s="2"/>
    </row>
    <row r="2668" spans="2:5" x14ac:dyDescent="0.35">
      <c r="B2668" s="1"/>
      <c r="E2668" s="2"/>
    </row>
    <row r="2669" spans="2:5" x14ac:dyDescent="0.35">
      <c r="B2669" s="1"/>
      <c r="E2669" s="2"/>
    </row>
    <row r="2670" spans="2:5" x14ac:dyDescent="0.35">
      <c r="B2670" s="1"/>
      <c r="E2670" s="2"/>
    </row>
    <row r="2671" spans="2:5" x14ac:dyDescent="0.35">
      <c r="B2671" s="1"/>
    </row>
    <row r="2672" spans="2:5" x14ac:dyDescent="0.35">
      <c r="B2672" s="1"/>
    </row>
    <row r="2673" spans="2:5" x14ac:dyDescent="0.35">
      <c r="B2673" s="1"/>
    </row>
    <row r="2674" spans="2:5" x14ac:dyDescent="0.35">
      <c r="B2674" s="1"/>
    </row>
    <row r="2675" spans="2:5" x14ac:dyDescent="0.35">
      <c r="B2675" s="1"/>
      <c r="E2675" s="2"/>
    </row>
    <row r="2676" spans="2:5" x14ac:dyDescent="0.35">
      <c r="B2676" s="1"/>
      <c r="E2676" s="2"/>
    </row>
    <row r="2677" spans="2:5" x14ac:dyDescent="0.35">
      <c r="B2677" s="1"/>
      <c r="E2677" s="2"/>
    </row>
    <row r="2678" spans="2:5" x14ac:dyDescent="0.35">
      <c r="B2678" s="1"/>
      <c r="E2678" s="2"/>
    </row>
    <row r="2679" spans="2:5" x14ac:dyDescent="0.35">
      <c r="B2679" s="1"/>
    </row>
    <row r="2680" spans="2:5" x14ac:dyDescent="0.35">
      <c r="B2680" s="1"/>
      <c r="E2680" s="2"/>
    </row>
    <row r="2681" spans="2:5" x14ac:dyDescent="0.35">
      <c r="B2681" s="1"/>
    </row>
    <row r="2682" spans="2:5" x14ac:dyDescent="0.35">
      <c r="B2682" s="1"/>
    </row>
    <row r="2683" spans="2:5" x14ac:dyDescent="0.35">
      <c r="B2683" s="1"/>
      <c r="E2683" s="2"/>
    </row>
    <row r="2684" spans="2:5" x14ac:dyDescent="0.35">
      <c r="B2684" s="1"/>
      <c r="E2684" s="2"/>
    </row>
    <row r="2685" spans="2:5" x14ac:dyDescent="0.35">
      <c r="B2685" s="1"/>
      <c r="E2685" s="2"/>
    </row>
    <row r="2686" spans="2:5" x14ac:dyDescent="0.35">
      <c r="B2686" s="1"/>
    </row>
    <row r="2687" spans="2:5" x14ac:dyDescent="0.35">
      <c r="B2687" s="1"/>
    </row>
    <row r="2688" spans="2:5" x14ac:dyDescent="0.35">
      <c r="B2688" s="1"/>
    </row>
    <row r="2689" spans="2:5" x14ac:dyDescent="0.35">
      <c r="B2689" s="1"/>
    </row>
    <row r="2690" spans="2:5" x14ac:dyDescent="0.35">
      <c r="B2690" s="1"/>
    </row>
    <row r="2691" spans="2:5" x14ac:dyDescent="0.35">
      <c r="B2691" s="1"/>
    </row>
    <row r="2692" spans="2:5" x14ac:dyDescent="0.35">
      <c r="B2692" s="1"/>
    </row>
    <row r="2693" spans="2:5" x14ac:dyDescent="0.35">
      <c r="B2693" s="1"/>
    </row>
    <row r="2694" spans="2:5" x14ac:dyDescent="0.35">
      <c r="B2694" s="1"/>
      <c r="E2694" s="2"/>
    </row>
    <row r="2695" spans="2:5" x14ac:dyDescent="0.35">
      <c r="B2695" s="1"/>
    </row>
    <row r="2696" spans="2:5" x14ac:dyDescent="0.35">
      <c r="B2696" s="1"/>
      <c r="E2696" s="2"/>
    </row>
    <row r="2697" spans="2:5" x14ac:dyDescent="0.35">
      <c r="B2697" s="1"/>
      <c r="E2697" s="2"/>
    </row>
    <row r="2698" spans="2:5" x14ac:dyDescent="0.35">
      <c r="B2698" s="1"/>
    </row>
    <row r="2699" spans="2:5" x14ac:dyDescent="0.35">
      <c r="B2699" s="1"/>
      <c r="E2699" s="2"/>
    </row>
    <row r="2700" spans="2:5" x14ac:dyDescent="0.35">
      <c r="B2700" s="1"/>
      <c r="E2700" s="2"/>
    </row>
    <row r="2701" spans="2:5" x14ac:dyDescent="0.35">
      <c r="B2701" s="1"/>
      <c r="E2701" s="2"/>
    </row>
    <row r="2702" spans="2:5" x14ac:dyDescent="0.35">
      <c r="B2702" s="1"/>
    </row>
    <row r="2703" spans="2:5" x14ac:dyDescent="0.35">
      <c r="B2703" s="1"/>
    </row>
    <row r="2704" spans="2:5" x14ac:dyDescent="0.35">
      <c r="B2704" s="1"/>
    </row>
    <row r="2705" spans="2:5" x14ac:dyDescent="0.35">
      <c r="B2705" s="1"/>
    </row>
    <row r="2706" spans="2:5" x14ac:dyDescent="0.35">
      <c r="B2706" s="1"/>
    </row>
    <row r="2707" spans="2:5" x14ac:dyDescent="0.35">
      <c r="B2707" s="1"/>
    </row>
    <row r="2708" spans="2:5" x14ac:dyDescent="0.35">
      <c r="B2708" s="1"/>
    </row>
    <row r="2709" spans="2:5" x14ac:dyDescent="0.35">
      <c r="B2709" s="1"/>
    </row>
    <row r="2710" spans="2:5" x14ac:dyDescent="0.35">
      <c r="B2710" s="1"/>
    </row>
    <row r="2711" spans="2:5" x14ac:dyDescent="0.35">
      <c r="B2711" s="1"/>
      <c r="E2711" s="2"/>
    </row>
    <row r="2712" spans="2:5" x14ac:dyDescent="0.35">
      <c r="B2712" s="1"/>
      <c r="E2712" s="2"/>
    </row>
    <row r="2713" spans="2:5" x14ac:dyDescent="0.35">
      <c r="B2713" s="1"/>
      <c r="E2713" s="2"/>
    </row>
    <row r="2714" spans="2:5" x14ac:dyDescent="0.35">
      <c r="B2714" s="1"/>
    </row>
    <row r="2715" spans="2:5" x14ac:dyDescent="0.35">
      <c r="B2715" s="1"/>
      <c r="E2715" s="2"/>
    </row>
    <row r="2716" spans="2:5" x14ac:dyDescent="0.35">
      <c r="B2716" s="1"/>
    </row>
    <row r="2717" spans="2:5" x14ac:dyDescent="0.35">
      <c r="B2717" s="1"/>
      <c r="E2717" s="2"/>
    </row>
    <row r="2718" spans="2:5" x14ac:dyDescent="0.35">
      <c r="B2718" s="1"/>
    </row>
    <row r="2719" spans="2:5" x14ac:dyDescent="0.35">
      <c r="B2719" s="1"/>
      <c r="E2719" s="2"/>
    </row>
    <row r="2720" spans="2:5" x14ac:dyDescent="0.35">
      <c r="B2720" s="1"/>
    </row>
    <row r="2721" spans="2:5" x14ac:dyDescent="0.35">
      <c r="B2721" s="1"/>
      <c r="E2721" s="2"/>
    </row>
    <row r="2722" spans="2:5" x14ac:dyDescent="0.35">
      <c r="B2722" s="1"/>
      <c r="E2722" s="2"/>
    </row>
    <row r="2723" spans="2:5" x14ac:dyDescent="0.35">
      <c r="B2723" s="1"/>
      <c r="E2723" s="2"/>
    </row>
    <row r="2724" spans="2:5" x14ac:dyDescent="0.35">
      <c r="B2724" s="1"/>
    </row>
    <row r="2725" spans="2:5" x14ac:dyDescent="0.35">
      <c r="B2725" s="1"/>
      <c r="E2725" s="2"/>
    </row>
    <row r="2726" spans="2:5" x14ac:dyDescent="0.35">
      <c r="B2726" s="1"/>
    </row>
    <row r="2727" spans="2:5" x14ac:dyDescent="0.35">
      <c r="B2727" s="1"/>
      <c r="E2727" s="2"/>
    </row>
    <row r="2728" spans="2:5" x14ac:dyDescent="0.35">
      <c r="B2728" s="1"/>
    </row>
    <row r="2729" spans="2:5" x14ac:dyDescent="0.35">
      <c r="B2729" s="1"/>
      <c r="E2729" s="2"/>
    </row>
    <row r="2730" spans="2:5" x14ac:dyDescent="0.35">
      <c r="B2730" s="1"/>
    </row>
    <row r="2731" spans="2:5" x14ac:dyDescent="0.35">
      <c r="B2731" s="1"/>
    </row>
    <row r="2732" spans="2:5" x14ac:dyDescent="0.35">
      <c r="B2732" s="1"/>
    </row>
    <row r="2733" spans="2:5" x14ac:dyDescent="0.35">
      <c r="B2733" s="1"/>
    </row>
    <row r="2734" spans="2:5" x14ac:dyDescent="0.35">
      <c r="B2734" s="1"/>
    </row>
    <row r="2735" spans="2:5" x14ac:dyDescent="0.35">
      <c r="B2735" s="1"/>
    </row>
    <row r="2736" spans="2:5" x14ac:dyDescent="0.35">
      <c r="B2736" s="1"/>
      <c r="E2736" s="2"/>
    </row>
    <row r="2737" spans="2:5" x14ac:dyDescent="0.35">
      <c r="B2737" s="1"/>
      <c r="E2737" s="2"/>
    </row>
    <row r="2738" spans="2:5" x14ac:dyDescent="0.35">
      <c r="B2738" s="1"/>
      <c r="E2738" s="2"/>
    </row>
    <row r="2739" spans="2:5" x14ac:dyDescent="0.35">
      <c r="B2739" s="1"/>
      <c r="E2739" s="2"/>
    </row>
    <row r="2740" spans="2:5" x14ac:dyDescent="0.35">
      <c r="B2740" s="1"/>
      <c r="E2740" s="2"/>
    </row>
    <row r="2741" spans="2:5" x14ac:dyDescent="0.35">
      <c r="B2741" s="1"/>
      <c r="E2741" s="2"/>
    </row>
    <row r="2742" spans="2:5" x14ac:dyDescent="0.35">
      <c r="B2742" s="1"/>
      <c r="E2742" s="2"/>
    </row>
    <row r="2743" spans="2:5" x14ac:dyDescent="0.35">
      <c r="B2743" s="1"/>
      <c r="E2743" s="2"/>
    </row>
    <row r="2744" spans="2:5" x14ac:dyDescent="0.35">
      <c r="B2744" s="1"/>
      <c r="E2744" s="2"/>
    </row>
    <row r="2745" spans="2:5" x14ac:dyDescent="0.35">
      <c r="B2745" s="1"/>
    </row>
    <row r="2746" spans="2:5" x14ac:dyDescent="0.35">
      <c r="B2746" s="1"/>
    </row>
    <row r="2747" spans="2:5" x14ac:dyDescent="0.35">
      <c r="B2747" s="1"/>
    </row>
    <row r="2748" spans="2:5" x14ac:dyDescent="0.35">
      <c r="B2748" s="1"/>
    </row>
    <row r="2749" spans="2:5" x14ac:dyDescent="0.35">
      <c r="B2749" s="1"/>
      <c r="E2749" s="2"/>
    </row>
    <row r="2750" spans="2:5" x14ac:dyDescent="0.35">
      <c r="B2750" s="1"/>
      <c r="E2750" s="2"/>
    </row>
    <row r="2751" spans="2:5" x14ac:dyDescent="0.35">
      <c r="B2751" s="1"/>
      <c r="E2751" s="2"/>
    </row>
    <row r="2752" spans="2:5" x14ac:dyDescent="0.35">
      <c r="B2752" s="1"/>
    </row>
    <row r="2753" spans="2:5" x14ac:dyDescent="0.35">
      <c r="B2753" s="1"/>
      <c r="E2753" s="2"/>
    </row>
    <row r="2754" spans="2:5" x14ac:dyDescent="0.35">
      <c r="B2754" s="1"/>
      <c r="E2754" s="2"/>
    </row>
    <row r="2755" spans="2:5" x14ac:dyDescent="0.35">
      <c r="B2755" s="1"/>
      <c r="E2755" s="2"/>
    </row>
    <row r="2756" spans="2:5" x14ac:dyDescent="0.35">
      <c r="B2756" s="1"/>
    </row>
    <row r="2757" spans="2:5" x14ac:dyDescent="0.35">
      <c r="B2757" s="1"/>
      <c r="E2757" s="2"/>
    </row>
    <row r="2758" spans="2:5" x14ac:dyDescent="0.35">
      <c r="B2758" s="1"/>
    </row>
    <row r="2759" spans="2:5" x14ac:dyDescent="0.35">
      <c r="B2759" s="1"/>
    </row>
    <row r="2760" spans="2:5" x14ac:dyDescent="0.35">
      <c r="B2760" s="1"/>
      <c r="E2760" s="2"/>
    </row>
    <row r="2761" spans="2:5" x14ac:dyDescent="0.35">
      <c r="B2761" s="1"/>
    </row>
    <row r="2762" spans="2:5" x14ac:dyDescent="0.35">
      <c r="B2762" s="1"/>
      <c r="E2762" s="2"/>
    </row>
    <row r="2763" spans="2:5" x14ac:dyDescent="0.35">
      <c r="B2763" s="1"/>
    </row>
    <row r="2764" spans="2:5" x14ac:dyDescent="0.35">
      <c r="B2764" s="1"/>
      <c r="E2764" s="2"/>
    </row>
    <row r="2765" spans="2:5" x14ac:dyDescent="0.35">
      <c r="B2765" s="1"/>
    </row>
    <row r="2766" spans="2:5" x14ac:dyDescent="0.35">
      <c r="B2766" s="1"/>
      <c r="E2766" s="2"/>
    </row>
    <row r="2767" spans="2:5" x14ac:dyDescent="0.35">
      <c r="B2767" s="1"/>
    </row>
    <row r="2768" spans="2:5" x14ac:dyDescent="0.35">
      <c r="B2768" s="1"/>
      <c r="E2768" s="2"/>
    </row>
    <row r="2769" spans="2:5" x14ac:dyDescent="0.35">
      <c r="B2769" s="1"/>
    </row>
    <row r="2770" spans="2:5" x14ac:dyDescent="0.35">
      <c r="B2770" s="1"/>
      <c r="E2770" s="2"/>
    </row>
    <row r="2771" spans="2:5" x14ac:dyDescent="0.35">
      <c r="B2771" s="1"/>
    </row>
    <row r="2772" spans="2:5" x14ac:dyDescent="0.35">
      <c r="B2772" s="1"/>
    </row>
    <row r="2773" spans="2:5" x14ac:dyDescent="0.35">
      <c r="B2773" s="1"/>
    </row>
    <row r="2774" spans="2:5" x14ac:dyDescent="0.35">
      <c r="B2774" s="1"/>
      <c r="E2774" s="2"/>
    </row>
    <row r="2775" spans="2:5" x14ac:dyDescent="0.35">
      <c r="B2775" s="1"/>
    </row>
    <row r="2776" spans="2:5" x14ac:dyDescent="0.35">
      <c r="B2776" s="1"/>
    </row>
    <row r="2777" spans="2:5" x14ac:dyDescent="0.35">
      <c r="B2777" s="1"/>
      <c r="E2777" s="2"/>
    </row>
    <row r="2778" spans="2:5" x14ac:dyDescent="0.35">
      <c r="B2778" s="1"/>
    </row>
    <row r="2779" spans="2:5" x14ac:dyDescent="0.35">
      <c r="B2779" s="1"/>
    </row>
    <row r="2780" spans="2:5" x14ac:dyDescent="0.35">
      <c r="B2780" s="1"/>
    </row>
    <row r="2781" spans="2:5" x14ac:dyDescent="0.35">
      <c r="B2781" s="1"/>
    </row>
    <row r="2782" spans="2:5" x14ac:dyDescent="0.35">
      <c r="B2782" s="1"/>
      <c r="E2782" s="2"/>
    </row>
    <row r="2783" spans="2:5" x14ac:dyDescent="0.35">
      <c r="B2783" s="1"/>
    </row>
    <row r="2784" spans="2:5" x14ac:dyDescent="0.35">
      <c r="B2784" s="1"/>
    </row>
    <row r="2785" spans="2:5" x14ac:dyDescent="0.35">
      <c r="B2785" s="1"/>
    </row>
    <row r="2786" spans="2:5" x14ac:dyDescent="0.35">
      <c r="B2786" s="1"/>
      <c r="E2786" s="2"/>
    </row>
    <row r="2787" spans="2:5" x14ac:dyDescent="0.35">
      <c r="B2787" s="1"/>
    </row>
    <row r="2788" spans="2:5" x14ac:dyDescent="0.35">
      <c r="B2788" s="1"/>
    </row>
    <row r="2789" spans="2:5" x14ac:dyDescent="0.35">
      <c r="B2789" s="1"/>
    </row>
    <row r="2790" spans="2:5" x14ac:dyDescent="0.35">
      <c r="B2790" s="1"/>
    </row>
    <row r="2791" spans="2:5" x14ac:dyDescent="0.35">
      <c r="B2791" s="1"/>
      <c r="E2791" s="2"/>
    </row>
    <row r="2792" spans="2:5" x14ac:dyDescent="0.35">
      <c r="B2792" s="1"/>
    </row>
    <row r="2793" spans="2:5" x14ac:dyDescent="0.35">
      <c r="B2793" s="1"/>
    </row>
    <row r="2794" spans="2:5" x14ac:dyDescent="0.35">
      <c r="B2794" s="1"/>
    </row>
    <row r="2795" spans="2:5" x14ac:dyDescent="0.35">
      <c r="B2795" s="1"/>
      <c r="E2795" s="2"/>
    </row>
    <row r="2796" spans="2:5" x14ac:dyDescent="0.35">
      <c r="B2796" s="1"/>
    </row>
    <row r="2797" spans="2:5" x14ac:dyDescent="0.35">
      <c r="B2797" s="1"/>
    </row>
    <row r="2798" spans="2:5" x14ac:dyDescent="0.35">
      <c r="B2798" s="1"/>
      <c r="E2798" s="2"/>
    </row>
    <row r="2799" spans="2:5" x14ac:dyDescent="0.35">
      <c r="B2799" s="1"/>
    </row>
    <row r="2800" spans="2:5" x14ac:dyDescent="0.35">
      <c r="B2800" s="1"/>
    </row>
    <row r="2801" spans="2:5" x14ac:dyDescent="0.35">
      <c r="B2801" s="1"/>
      <c r="E2801" s="2"/>
    </row>
    <row r="2802" spans="2:5" x14ac:dyDescent="0.35">
      <c r="B2802" s="1"/>
    </row>
    <row r="2803" spans="2:5" x14ac:dyDescent="0.35">
      <c r="B2803" s="1"/>
    </row>
    <row r="2804" spans="2:5" x14ac:dyDescent="0.35">
      <c r="B2804" s="1"/>
    </row>
    <row r="2805" spans="2:5" x14ac:dyDescent="0.35">
      <c r="B2805" s="1"/>
    </row>
    <row r="2806" spans="2:5" x14ac:dyDescent="0.35">
      <c r="B2806" s="1"/>
    </row>
    <row r="2807" spans="2:5" x14ac:dyDescent="0.35">
      <c r="B2807" s="1"/>
    </row>
    <row r="2808" spans="2:5" x14ac:dyDescent="0.35">
      <c r="B2808" s="1"/>
    </row>
    <row r="2809" spans="2:5" x14ac:dyDescent="0.35">
      <c r="B2809" s="1"/>
    </row>
    <row r="2810" spans="2:5" x14ac:dyDescent="0.35">
      <c r="B2810" s="1"/>
      <c r="E2810" s="2"/>
    </row>
    <row r="2811" spans="2:5" x14ac:dyDescent="0.35">
      <c r="B2811" s="1"/>
      <c r="E2811" s="2"/>
    </row>
    <row r="2812" spans="2:5" x14ac:dyDescent="0.35">
      <c r="B2812" s="1"/>
      <c r="E2812" s="2"/>
    </row>
    <row r="2813" spans="2:5" x14ac:dyDescent="0.35">
      <c r="B2813" s="1"/>
      <c r="E2813" s="2"/>
    </row>
    <row r="2814" spans="2:5" x14ac:dyDescent="0.35">
      <c r="B2814" s="1"/>
      <c r="E2814" s="2"/>
    </row>
    <row r="2815" spans="2:5" x14ac:dyDescent="0.35">
      <c r="B2815" s="1"/>
    </row>
    <row r="2816" spans="2:5" x14ac:dyDescent="0.35">
      <c r="B2816" s="1"/>
      <c r="E2816" s="2"/>
    </row>
    <row r="2817" spans="2:5" x14ac:dyDescent="0.35">
      <c r="B2817" s="1"/>
      <c r="E2817" s="2"/>
    </row>
    <row r="2818" spans="2:5" x14ac:dyDescent="0.35">
      <c r="B2818" s="1"/>
      <c r="E2818" s="2"/>
    </row>
    <row r="2819" spans="2:5" x14ac:dyDescent="0.35">
      <c r="B2819" s="1"/>
    </row>
    <row r="2820" spans="2:5" x14ac:dyDescent="0.35">
      <c r="B2820" s="1"/>
    </row>
    <row r="2821" spans="2:5" x14ac:dyDescent="0.35">
      <c r="B2821" s="1"/>
    </row>
    <row r="2822" spans="2:5" x14ac:dyDescent="0.35">
      <c r="B2822" s="1"/>
      <c r="E2822" s="2"/>
    </row>
    <row r="2823" spans="2:5" x14ac:dyDescent="0.35">
      <c r="B2823" s="1"/>
      <c r="E2823" s="2"/>
    </row>
    <row r="2824" spans="2:5" x14ac:dyDescent="0.35">
      <c r="B2824" s="1"/>
    </row>
    <row r="2825" spans="2:5" x14ac:dyDescent="0.35">
      <c r="B2825" s="1"/>
    </row>
    <row r="2826" spans="2:5" x14ac:dyDescent="0.35">
      <c r="B2826" s="1"/>
    </row>
    <row r="2827" spans="2:5" x14ac:dyDescent="0.35">
      <c r="B2827" s="1"/>
      <c r="E2827" s="2"/>
    </row>
    <row r="2828" spans="2:5" x14ac:dyDescent="0.35">
      <c r="B2828" s="1"/>
    </row>
    <row r="2829" spans="2:5" x14ac:dyDescent="0.35">
      <c r="B2829" s="1"/>
      <c r="E2829" s="2"/>
    </row>
    <row r="2830" spans="2:5" x14ac:dyDescent="0.35">
      <c r="B2830" s="1"/>
      <c r="E2830" s="2"/>
    </row>
    <row r="2831" spans="2:5" x14ac:dyDescent="0.35">
      <c r="B2831" s="1"/>
    </row>
    <row r="2832" spans="2:5" x14ac:dyDescent="0.35">
      <c r="B2832" s="1"/>
    </row>
    <row r="2833" spans="2:5" x14ac:dyDescent="0.35">
      <c r="B2833" s="1"/>
      <c r="E2833" s="2"/>
    </row>
    <row r="2834" spans="2:5" x14ac:dyDescent="0.35">
      <c r="B2834" s="1"/>
    </row>
    <row r="2835" spans="2:5" x14ac:dyDescent="0.35">
      <c r="B2835" s="1"/>
    </row>
    <row r="2836" spans="2:5" x14ac:dyDescent="0.35">
      <c r="B2836" s="1"/>
    </row>
    <row r="2837" spans="2:5" x14ac:dyDescent="0.35">
      <c r="B2837" s="1"/>
    </row>
    <row r="2838" spans="2:5" x14ac:dyDescent="0.35">
      <c r="B2838" s="1"/>
    </row>
    <row r="2839" spans="2:5" x14ac:dyDescent="0.35">
      <c r="B2839" s="1"/>
      <c r="E2839" s="2"/>
    </row>
    <row r="2840" spans="2:5" x14ac:dyDescent="0.35">
      <c r="B2840" s="1"/>
      <c r="E2840" s="2"/>
    </row>
    <row r="2841" spans="2:5" x14ac:dyDescent="0.35">
      <c r="B2841" s="1"/>
      <c r="E2841" s="2"/>
    </row>
    <row r="2842" spans="2:5" x14ac:dyDescent="0.35">
      <c r="B2842" s="1"/>
    </row>
    <row r="2843" spans="2:5" x14ac:dyDescent="0.35">
      <c r="B2843" s="1"/>
    </row>
    <row r="2844" spans="2:5" x14ac:dyDescent="0.35">
      <c r="B2844" s="1"/>
      <c r="E2844" s="2"/>
    </row>
    <row r="2845" spans="2:5" x14ac:dyDescent="0.35">
      <c r="B2845" s="1"/>
    </row>
    <row r="2846" spans="2:5" x14ac:dyDescent="0.35">
      <c r="B2846" s="1"/>
      <c r="E2846" s="2"/>
    </row>
    <row r="2847" spans="2:5" x14ac:dyDescent="0.35">
      <c r="B2847" s="1"/>
    </row>
    <row r="2848" spans="2:5" x14ac:dyDescent="0.35">
      <c r="B2848" s="1"/>
    </row>
    <row r="2849" spans="2:5" x14ac:dyDescent="0.35">
      <c r="B2849" s="1"/>
      <c r="E2849" s="2"/>
    </row>
    <row r="2850" spans="2:5" x14ac:dyDescent="0.35">
      <c r="B2850" s="1"/>
      <c r="E2850" s="2"/>
    </row>
    <row r="2851" spans="2:5" x14ac:dyDescent="0.35">
      <c r="B2851" s="1"/>
    </row>
    <row r="2852" spans="2:5" x14ac:dyDescent="0.35">
      <c r="B2852" s="1"/>
      <c r="E2852" s="2"/>
    </row>
    <row r="2853" spans="2:5" x14ac:dyDescent="0.35">
      <c r="B2853" s="1"/>
      <c r="E2853" s="2"/>
    </row>
    <row r="2854" spans="2:5" x14ac:dyDescent="0.35">
      <c r="B2854" s="1"/>
      <c r="E2854" s="2"/>
    </row>
    <row r="2855" spans="2:5" x14ac:dyDescent="0.35">
      <c r="B2855" s="1"/>
    </row>
    <row r="2856" spans="2:5" x14ac:dyDescent="0.35">
      <c r="B2856" s="1"/>
    </row>
    <row r="2857" spans="2:5" x14ac:dyDescent="0.35">
      <c r="B2857" s="1"/>
      <c r="E2857" s="2"/>
    </row>
    <row r="2858" spans="2:5" x14ac:dyDescent="0.35">
      <c r="B2858" s="1"/>
      <c r="E2858" s="2"/>
    </row>
    <row r="2859" spans="2:5" x14ac:dyDescent="0.35">
      <c r="B2859" s="1"/>
    </row>
    <row r="2860" spans="2:5" x14ac:dyDescent="0.35">
      <c r="B2860" s="1"/>
      <c r="E2860" s="2"/>
    </row>
    <row r="2861" spans="2:5" x14ac:dyDescent="0.35">
      <c r="B2861" s="1"/>
      <c r="E2861" s="2"/>
    </row>
    <row r="2862" spans="2:5" x14ac:dyDescent="0.35">
      <c r="B2862" s="1"/>
      <c r="E2862" s="2"/>
    </row>
    <row r="2863" spans="2:5" x14ac:dyDescent="0.35">
      <c r="B2863" s="1"/>
      <c r="E2863" s="2"/>
    </row>
    <row r="2864" spans="2:5" x14ac:dyDescent="0.35">
      <c r="B2864" s="1"/>
      <c r="E2864" s="2"/>
    </row>
    <row r="2865" spans="2:5" x14ac:dyDescent="0.35">
      <c r="B2865" s="1"/>
    </row>
    <row r="2866" spans="2:5" x14ac:dyDescent="0.35">
      <c r="B2866" s="1"/>
      <c r="E2866" s="2"/>
    </row>
    <row r="2867" spans="2:5" x14ac:dyDescent="0.35">
      <c r="B2867" s="1"/>
      <c r="E2867" s="2"/>
    </row>
    <row r="2868" spans="2:5" x14ac:dyDescent="0.35">
      <c r="B2868" s="1"/>
      <c r="E2868" s="2"/>
    </row>
    <row r="2869" spans="2:5" x14ac:dyDescent="0.35">
      <c r="B2869" s="1"/>
      <c r="E2869" s="2"/>
    </row>
    <row r="2870" spans="2:5" x14ac:dyDescent="0.35">
      <c r="B2870" s="1"/>
    </row>
    <row r="2871" spans="2:5" x14ac:dyDescent="0.35">
      <c r="B2871" s="1"/>
    </row>
    <row r="2872" spans="2:5" x14ac:dyDescent="0.35">
      <c r="B2872" s="1"/>
      <c r="E2872" s="2"/>
    </row>
    <row r="2873" spans="2:5" x14ac:dyDescent="0.35">
      <c r="B2873" s="1"/>
      <c r="E2873" s="2"/>
    </row>
    <row r="2874" spans="2:5" x14ac:dyDescent="0.35">
      <c r="B2874" s="1"/>
    </row>
    <row r="2875" spans="2:5" x14ac:dyDescent="0.35">
      <c r="B2875" s="1"/>
      <c r="E2875" s="2"/>
    </row>
    <row r="2876" spans="2:5" x14ac:dyDescent="0.35">
      <c r="B2876" s="1"/>
    </row>
    <row r="2877" spans="2:5" x14ac:dyDescent="0.35">
      <c r="B2877" s="1"/>
      <c r="E2877" s="2"/>
    </row>
    <row r="2878" spans="2:5" x14ac:dyDescent="0.35">
      <c r="B2878" s="1"/>
      <c r="E2878" s="2"/>
    </row>
    <row r="2879" spans="2:5" x14ac:dyDescent="0.35">
      <c r="B2879" s="1"/>
    </row>
    <row r="2880" spans="2:5" x14ac:dyDescent="0.35">
      <c r="B2880" s="1"/>
      <c r="E2880" s="2"/>
    </row>
    <row r="2881" spans="2:5" x14ac:dyDescent="0.35">
      <c r="B2881" s="1"/>
    </row>
    <row r="2882" spans="2:5" x14ac:dyDescent="0.35">
      <c r="B2882" s="1"/>
    </row>
    <row r="2883" spans="2:5" x14ac:dyDescent="0.35">
      <c r="B2883" s="1"/>
      <c r="E2883" s="2"/>
    </row>
    <row r="2884" spans="2:5" x14ac:dyDescent="0.35">
      <c r="B2884" s="1"/>
    </row>
    <row r="2885" spans="2:5" x14ac:dyDescent="0.35">
      <c r="B2885" s="1"/>
      <c r="E2885" s="2"/>
    </row>
    <row r="2886" spans="2:5" x14ac:dyDescent="0.35">
      <c r="B2886" s="1"/>
      <c r="E2886" s="2"/>
    </row>
    <row r="2887" spans="2:5" x14ac:dyDescent="0.35">
      <c r="B2887" s="1"/>
      <c r="E2887" s="2"/>
    </row>
    <row r="2888" spans="2:5" x14ac:dyDescent="0.35">
      <c r="B2888" s="1"/>
    </row>
    <row r="2889" spans="2:5" x14ac:dyDescent="0.35">
      <c r="B2889" s="1"/>
    </row>
    <row r="2890" spans="2:5" x14ac:dyDescent="0.35">
      <c r="B2890" s="1"/>
      <c r="E2890" s="2"/>
    </row>
    <row r="2891" spans="2:5" x14ac:dyDescent="0.35">
      <c r="B2891" s="1"/>
      <c r="E2891" s="2"/>
    </row>
    <row r="2892" spans="2:5" x14ac:dyDescent="0.35">
      <c r="B2892" s="1"/>
    </row>
    <row r="2893" spans="2:5" x14ac:dyDescent="0.35">
      <c r="B2893" s="1"/>
      <c r="E2893" s="2"/>
    </row>
    <row r="2894" spans="2:5" x14ac:dyDescent="0.35">
      <c r="B2894" s="1"/>
    </row>
    <row r="2895" spans="2:5" x14ac:dyDescent="0.35">
      <c r="B2895" s="1"/>
      <c r="E2895" s="2"/>
    </row>
    <row r="2896" spans="2:5" x14ac:dyDescent="0.35">
      <c r="B2896" s="1"/>
    </row>
    <row r="2897" spans="2:5" x14ac:dyDescent="0.35">
      <c r="B2897" s="1"/>
      <c r="E2897" s="2"/>
    </row>
    <row r="2898" spans="2:5" x14ac:dyDescent="0.35">
      <c r="B2898" s="1"/>
    </row>
    <row r="2899" spans="2:5" x14ac:dyDescent="0.35">
      <c r="B2899" s="1"/>
      <c r="E2899" s="2"/>
    </row>
    <row r="2900" spans="2:5" x14ac:dyDescent="0.35">
      <c r="B2900" s="1"/>
      <c r="E2900" s="2"/>
    </row>
    <row r="2901" spans="2:5" x14ac:dyDescent="0.35">
      <c r="B2901" s="1"/>
    </row>
    <row r="2902" spans="2:5" x14ac:dyDescent="0.35">
      <c r="B2902" s="1"/>
      <c r="E2902" s="2"/>
    </row>
    <row r="2903" spans="2:5" x14ac:dyDescent="0.35">
      <c r="B2903" s="1"/>
      <c r="E2903" s="2"/>
    </row>
    <row r="2904" spans="2:5" x14ac:dyDescent="0.35">
      <c r="B2904" s="1"/>
      <c r="E2904" s="2"/>
    </row>
    <row r="2905" spans="2:5" x14ac:dyDescent="0.35">
      <c r="B2905" s="1"/>
      <c r="E2905" s="2"/>
    </row>
    <row r="2906" spans="2:5" x14ac:dyDescent="0.35">
      <c r="B2906" s="1"/>
    </row>
    <row r="2907" spans="2:5" x14ac:dyDescent="0.35">
      <c r="B2907" s="1"/>
    </row>
    <row r="2908" spans="2:5" x14ac:dyDescent="0.35">
      <c r="B2908" s="1"/>
      <c r="E2908" s="2"/>
    </row>
    <row r="2909" spans="2:5" x14ac:dyDescent="0.35">
      <c r="B2909" s="1"/>
      <c r="E2909" s="2"/>
    </row>
    <row r="2910" spans="2:5" x14ac:dyDescent="0.35">
      <c r="B2910" s="1"/>
      <c r="E2910" s="2"/>
    </row>
    <row r="2911" spans="2:5" x14ac:dyDescent="0.35">
      <c r="B2911" s="1"/>
      <c r="E2911" s="2"/>
    </row>
    <row r="2912" spans="2:5" x14ac:dyDescent="0.35">
      <c r="B2912" s="1"/>
    </row>
    <row r="2913" spans="2:5" x14ac:dyDescent="0.35">
      <c r="B2913" s="1"/>
      <c r="E2913" s="2"/>
    </row>
    <row r="2914" spans="2:5" x14ac:dyDescent="0.35">
      <c r="B2914" s="1"/>
    </row>
    <row r="2915" spans="2:5" x14ac:dyDescent="0.35">
      <c r="B2915" s="1"/>
      <c r="E2915" s="2"/>
    </row>
    <row r="2916" spans="2:5" x14ac:dyDescent="0.35">
      <c r="B2916" s="1"/>
      <c r="E2916" s="2"/>
    </row>
    <row r="2917" spans="2:5" x14ac:dyDescent="0.35">
      <c r="B2917" s="1"/>
      <c r="E2917" s="2"/>
    </row>
    <row r="2918" spans="2:5" x14ac:dyDescent="0.35">
      <c r="B2918" s="1"/>
    </row>
    <row r="2919" spans="2:5" x14ac:dyDescent="0.35">
      <c r="B2919" s="1"/>
    </row>
    <row r="2920" spans="2:5" x14ac:dyDescent="0.35">
      <c r="B2920" s="1"/>
      <c r="E2920" s="2"/>
    </row>
    <row r="2921" spans="2:5" x14ac:dyDescent="0.35">
      <c r="B2921" s="1"/>
      <c r="E2921" s="2"/>
    </row>
    <row r="2922" spans="2:5" x14ac:dyDescent="0.35">
      <c r="B2922" s="1"/>
    </row>
    <row r="2923" spans="2:5" x14ac:dyDescent="0.35">
      <c r="B2923" s="1"/>
      <c r="E2923" s="2"/>
    </row>
    <row r="2924" spans="2:5" x14ac:dyDescent="0.35">
      <c r="B2924" s="1"/>
    </row>
    <row r="2925" spans="2:5" x14ac:dyDescent="0.35">
      <c r="B2925" s="1"/>
      <c r="E2925" s="2"/>
    </row>
    <row r="2926" spans="2:5" x14ac:dyDescent="0.35">
      <c r="B2926" s="1"/>
      <c r="E2926" s="2"/>
    </row>
    <row r="2927" spans="2:5" x14ac:dyDescent="0.35">
      <c r="B2927" s="1"/>
      <c r="E2927" s="2"/>
    </row>
    <row r="2928" spans="2:5" x14ac:dyDescent="0.35">
      <c r="B2928" s="1"/>
    </row>
    <row r="2929" spans="2:5" x14ac:dyDescent="0.35">
      <c r="B2929" s="1"/>
    </row>
    <row r="2930" spans="2:5" x14ac:dyDescent="0.35">
      <c r="B2930" s="1"/>
      <c r="E2930" s="2"/>
    </row>
    <row r="2931" spans="2:5" x14ac:dyDescent="0.35">
      <c r="B2931" s="1"/>
    </row>
    <row r="2932" spans="2:5" x14ac:dyDescent="0.35">
      <c r="B2932" s="1"/>
    </row>
    <row r="2933" spans="2:5" x14ac:dyDescent="0.35">
      <c r="B2933" s="1"/>
    </row>
    <row r="2934" spans="2:5" x14ac:dyDescent="0.35">
      <c r="B2934" s="1"/>
    </row>
    <row r="2935" spans="2:5" x14ac:dyDescent="0.35">
      <c r="B2935" s="1"/>
    </row>
    <row r="2936" spans="2:5" x14ac:dyDescent="0.35">
      <c r="B2936" s="1"/>
      <c r="E2936" s="2"/>
    </row>
    <row r="2937" spans="2:5" x14ac:dyDescent="0.35">
      <c r="B2937" s="1"/>
      <c r="E2937" s="2"/>
    </row>
    <row r="2938" spans="2:5" x14ac:dyDescent="0.35">
      <c r="B2938" s="1"/>
      <c r="E2938" s="2"/>
    </row>
    <row r="2939" spans="2:5" x14ac:dyDescent="0.35">
      <c r="B2939" s="1"/>
      <c r="E2939" s="2"/>
    </row>
    <row r="2940" spans="2:5" x14ac:dyDescent="0.35">
      <c r="B2940" s="1"/>
      <c r="E2940" s="2"/>
    </row>
    <row r="2941" spans="2:5" x14ac:dyDescent="0.35">
      <c r="B2941" s="1"/>
      <c r="E2941" s="2"/>
    </row>
    <row r="2942" spans="2:5" x14ac:dyDescent="0.35">
      <c r="B2942" s="1"/>
    </row>
    <row r="2943" spans="2:5" x14ac:dyDescent="0.35">
      <c r="B2943" s="1"/>
      <c r="E2943" s="2"/>
    </row>
    <row r="2944" spans="2:5" x14ac:dyDescent="0.35">
      <c r="B2944" s="1"/>
    </row>
    <row r="2945" spans="2:5" x14ac:dyDescent="0.35">
      <c r="B2945" s="1"/>
      <c r="E2945" s="2"/>
    </row>
    <row r="2946" spans="2:5" x14ac:dyDescent="0.35">
      <c r="B2946" s="1"/>
    </row>
    <row r="2947" spans="2:5" x14ac:dyDescent="0.35">
      <c r="B2947" s="1"/>
    </row>
    <row r="2948" spans="2:5" x14ac:dyDescent="0.35">
      <c r="B2948" s="1"/>
      <c r="E2948" s="2"/>
    </row>
    <row r="2949" spans="2:5" x14ac:dyDescent="0.35">
      <c r="B2949" s="1"/>
      <c r="E2949" s="2"/>
    </row>
    <row r="2950" spans="2:5" x14ac:dyDescent="0.35">
      <c r="B2950" s="1"/>
      <c r="E2950" s="2"/>
    </row>
    <row r="2951" spans="2:5" x14ac:dyDescent="0.35">
      <c r="B2951" s="1"/>
      <c r="E2951" s="2"/>
    </row>
    <row r="2952" spans="2:5" x14ac:dyDescent="0.35">
      <c r="B2952" s="1"/>
      <c r="E2952" s="2"/>
    </row>
    <row r="2953" spans="2:5" x14ac:dyDescent="0.35">
      <c r="B2953" s="1"/>
      <c r="E2953" s="2"/>
    </row>
    <row r="2954" spans="2:5" x14ac:dyDescent="0.35">
      <c r="B2954" s="1"/>
    </row>
    <row r="2955" spans="2:5" x14ac:dyDescent="0.35">
      <c r="B2955" s="1"/>
    </row>
    <row r="2956" spans="2:5" x14ac:dyDescent="0.35">
      <c r="B2956" s="1"/>
    </row>
    <row r="2957" spans="2:5" x14ac:dyDescent="0.35">
      <c r="B2957" s="1"/>
    </row>
    <row r="2958" spans="2:5" x14ac:dyDescent="0.35">
      <c r="B2958" s="1"/>
      <c r="E2958" s="2"/>
    </row>
    <row r="2959" spans="2:5" x14ac:dyDescent="0.35">
      <c r="B2959" s="1"/>
      <c r="E2959" s="2"/>
    </row>
    <row r="2960" spans="2:5" x14ac:dyDescent="0.35">
      <c r="B2960" s="1"/>
      <c r="E2960" s="2"/>
    </row>
    <row r="2961" spans="2:5" x14ac:dyDescent="0.35">
      <c r="B2961" s="1"/>
      <c r="E2961" s="2"/>
    </row>
    <row r="2962" spans="2:5" x14ac:dyDescent="0.35">
      <c r="B2962" s="1"/>
    </row>
    <row r="2963" spans="2:5" x14ac:dyDescent="0.35">
      <c r="B2963" s="1"/>
      <c r="E2963" s="2"/>
    </row>
    <row r="2964" spans="2:5" x14ac:dyDescent="0.35">
      <c r="B2964" s="1"/>
      <c r="E2964" s="2"/>
    </row>
    <row r="2965" spans="2:5" x14ac:dyDescent="0.35">
      <c r="B2965" s="1"/>
      <c r="E2965" s="2"/>
    </row>
    <row r="2966" spans="2:5" x14ac:dyDescent="0.35">
      <c r="B2966" s="1"/>
      <c r="E2966" s="2"/>
    </row>
    <row r="2967" spans="2:5" x14ac:dyDescent="0.35">
      <c r="B2967" s="1"/>
    </row>
    <row r="2968" spans="2:5" x14ac:dyDescent="0.35">
      <c r="B2968" s="1"/>
    </row>
    <row r="2969" spans="2:5" x14ac:dyDescent="0.35">
      <c r="B2969" s="1"/>
      <c r="E2969" s="2"/>
    </row>
    <row r="2970" spans="2:5" x14ac:dyDescent="0.35">
      <c r="B2970" s="1"/>
      <c r="E2970" s="2"/>
    </row>
    <row r="2971" spans="2:5" x14ac:dyDescent="0.35">
      <c r="B2971" s="1"/>
    </row>
    <row r="2972" spans="2:5" x14ac:dyDescent="0.35">
      <c r="B2972" s="1"/>
      <c r="E2972" s="2"/>
    </row>
    <row r="2973" spans="2:5" x14ac:dyDescent="0.35">
      <c r="B2973" s="1"/>
      <c r="E2973" s="2"/>
    </row>
    <row r="2974" spans="2:5" x14ac:dyDescent="0.35">
      <c r="B2974" s="1"/>
    </row>
    <row r="2975" spans="2:5" x14ac:dyDescent="0.35">
      <c r="B2975" s="1"/>
      <c r="E2975" s="2"/>
    </row>
    <row r="2976" spans="2:5" x14ac:dyDescent="0.35">
      <c r="B2976" s="1"/>
    </row>
    <row r="2977" spans="2:5" x14ac:dyDescent="0.35">
      <c r="B2977" s="1"/>
      <c r="E2977" s="2"/>
    </row>
    <row r="2978" spans="2:5" x14ac:dyDescent="0.35">
      <c r="B2978" s="1"/>
    </row>
    <row r="2979" spans="2:5" x14ac:dyDescent="0.35">
      <c r="B2979" s="1"/>
      <c r="E2979" s="2"/>
    </row>
    <row r="2980" spans="2:5" x14ac:dyDescent="0.35">
      <c r="B2980" s="1"/>
    </row>
    <row r="2981" spans="2:5" x14ac:dyDescent="0.35">
      <c r="B2981" s="1"/>
      <c r="E2981" s="2"/>
    </row>
    <row r="2982" spans="2:5" x14ac:dyDescent="0.35">
      <c r="B2982" s="1"/>
    </row>
    <row r="2983" spans="2:5" x14ac:dyDescent="0.35">
      <c r="B2983" s="1"/>
    </row>
    <row r="2984" spans="2:5" x14ac:dyDescent="0.35">
      <c r="B2984" s="1"/>
      <c r="E2984" s="2"/>
    </row>
    <row r="2985" spans="2:5" x14ac:dyDescent="0.35">
      <c r="B2985" s="1"/>
    </row>
    <row r="2986" spans="2:5" x14ac:dyDescent="0.35">
      <c r="B2986" s="1"/>
      <c r="E2986" s="2"/>
    </row>
    <row r="2987" spans="2:5" x14ac:dyDescent="0.35">
      <c r="B2987" s="1"/>
      <c r="E2987" s="2"/>
    </row>
    <row r="2988" spans="2:5" x14ac:dyDescent="0.35">
      <c r="B2988" s="1"/>
    </row>
    <row r="2989" spans="2:5" x14ac:dyDescent="0.35">
      <c r="B2989" s="1"/>
    </row>
    <row r="2990" spans="2:5" x14ac:dyDescent="0.35">
      <c r="B2990" s="1"/>
      <c r="E2990" s="2"/>
    </row>
    <row r="2991" spans="2:5" x14ac:dyDescent="0.35">
      <c r="B2991" s="1"/>
    </row>
    <row r="2992" spans="2:5" x14ac:dyDescent="0.35">
      <c r="B2992" s="1"/>
    </row>
    <row r="2993" spans="2:5" x14ac:dyDescent="0.35">
      <c r="B2993" s="1"/>
      <c r="E2993" s="2"/>
    </row>
    <row r="2994" spans="2:5" x14ac:dyDescent="0.35">
      <c r="B2994" s="1"/>
    </row>
    <row r="2995" spans="2:5" x14ac:dyDescent="0.35">
      <c r="B2995" s="1"/>
      <c r="E2995" s="2"/>
    </row>
    <row r="2996" spans="2:5" x14ac:dyDescent="0.35">
      <c r="B2996" s="1"/>
    </row>
    <row r="2997" spans="2:5" x14ac:dyDescent="0.35">
      <c r="B2997" s="1"/>
      <c r="E2997" s="2"/>
    </row>
    <row r="2998" spans="2:5" x14ac:dyDescent="0.35">
      <c r="B2998" s="1"/>
    </row>
    <row r="2999" spans="2:5" x14ac:dyDescent="0.35">
      <c r="B2999" s="1"/>
      <c r="E2999" s="2"/>
    </row>
    <row r="3000" spans="2:5" x14ac:dyDescent="0.35">
      <c r="B3000" s="1"/>
    </row>
    <row r="3001" spans="2:5" x14ac:dyDescent="0.35">
      <c r="B3001" s="1"/>
      <c r="E3001" s="2"/>
    </row>
    <row r="3002" spans="2:5" x14ac:dyDescent="0.35">
      <c r="B3002" s="1"/>
      <c r="E3002" s="2"/>
    </row>
    <row r="3003" spans="2:5" x14ac:dyDescent="0.35">
      <c r="B3003" s="1"/>
    </row>
    <row r="3004" spans="2:5" x14ac:dyDescent="0.35">
      <c r="B3004" s="1"/>
    </row>
    <row r="3005" spans="2:5" x14ac:dyDescent="0.35">
      <c r="B3005" s="1"/>
      <c r="E3005" s="2"/>
    </row>
    <row r="3006" spans="2:5" x14ac:dyDescent="0.35">
      <c r="B3006" s="1"/>
      <c r="E3006" s="2"/>
    </row>
    <row r="3007" spans="2:5" x14ac:dyDescent="0.35">
      <c r="B3007" s="1"/>
    </row>
    <row r="3008" spans="2:5" x14ac:dyDescent="0.35">
      <c r="B3008" s="1"/>
    </row>
    <row r="3009" spans="2:5" x14ac:dyDescent="0.35">
      <c r="B3009" s="1"/>
    </row>
    <row r="3010" spans="2:5" x14ac:dyDescent="0.35">
      <c r="B3010" s="1"/>
      <c r="E3010" s="2"/>
    </row>
    <row r="3011" spans="2:5" x14ac:dyDescent="0.35">
      <c r="B3011" s="1"/>
      <c r="E3011" s="2"/>
    </row>
    <row r="3012" spans="2:5" x14ac:dyDescent="0.35">
      <c r="B3012" s="1"/>
    </row>
    <row r="3013" spans="2:5" x14ac:dyDescent="0.35">
      <c r="B3013" s="1"/>
    </row>
    <row r="3014" spans="2:5" x14ac:dyDescent="0.35">
      <c r="B3014" s="1"/>
      <c r="E3014" s="2"/>
    </row>
    <row r="3015" spans="2:5" x14ac:dyDescent="0.35">
      <c r="B3015" s="1"/>
    </row>
    <row r="3016" spans="2:5" x14ac:dyDescent="0.35">
      <c r="B3016" s="1"/>
    </row>
    <row r="3017" spans="2:5" x14ac:dyDescent="0.35">
      <c r="B3017" s="1"/>
      <c r="E3017" s="2"/>
    </row>
    <row r="3018" spans="2:5" x14ac:dyDescent="0.35">
      <c r="B3018" s="1"/>
      <c r="E3018" s="2"/>
    </row>
    <row r="3019" spans="2:5" x14ac:dyDescent="0.35">
      <c r="B3019" s="1"/>
      <c r="E3019" s="2"/>
    </row>
    <row r="3020" spans="2:5" x14ac:dyDescent="0.35">
      <c r="B3020" s="1"/>
      <c r="E3020" s="2"/>
    </row>
    <row r="3021" spans="2:5" x14ac:dyDescent="0.35">
      <c r="B3021" s="1"/>
      <c r="E3021" s="2"/>
    </row>
    <row r="3022" spans="2:5" x14ac:dyDescent="0.35">
      <c r="B3022" s="1"/>
    </row>
    <row r="3023" spans="2:5" x14ac:dyDescent="0.35">
      <c r="B3023" s="1"/>
      <c r="E3023" s="2"/>
    </row>
    <row r="3024" spans="2:5" x14ac:dyDescent="0.35">
      <c r="B3024" s="1"/>
    </row>
    <row r="3025" spans="2:5" x14ac:dyDescent="0.35">
      <c r="B3025" s="1"/>
      <c r="E3025" s="2"/>
    </row>
    <row r="3026" spans="2:5" x14ac:dyDescent="0.35">
      <c r="B3026" s="1"/>
      <c r="E3026" s="2"/>
    </row>
    <row r="3027" spans="2:5" x14ac:dyDescent="0.35">
      <c r="B3027" s="1"/>
    </row>
    <row r="3028" spans="2:5" x14ac:dyDescent="0.35">
      <c r="B3028" s="1"/>
      <c r="E3028" s="2"/>
    </row>
    <row r="3029" spans="2:5" x14ac:dyDescent="0.35">
      <c r="B3029" s="1"/>
    </row>
    <row r="3030" spans="2:5" x14ac:dyDescent="0.35">
      <c r="B3030" s="1"/>
    </row>
    <row r="3031" spans="2:5" x14ac:dyDescent="0.35">
      <c r="B3031" s="1"/>
      <c r="E3031" s="2"/>
    </row>
    <row r="3032" spans="2:5" x14ac:dyDescent="0.35">
      <c r="B3032" s="1"/>
      <c r="E3032" s="2"/>
    </row>
    <row r="3033" spans="2:5" x14ac:dyDescent="0.35">
      <c r="B3033" s="1"/>
      <c r="E3033" s="2"/>
    </row>
    <row r="3034" spans="2:5" x14ac:dyDescent="0.35">
      <c r="B3034" s="1"/>
      <c r="E3034" s="2"/>
    </row>
    <row r="3035" spans="2:5" x14ac:dyDescent="0.35">
      <c r="B3035" s="1"/>
    </row>
    <row r="3036" spans="2:5" x14ac:dyDescent="0.35">
      <c r="B3036" s="1"/>
      <c r="E3036" s="2"/>
    </row>
    <row r="3037" spans="2:5" x14ac:dyDescent="0.35">
      <c r="B3037" s="1"/>
    </row>
    <row r="3038" spans="2:5" x14ac:dyDescent="0.35">
      <c r="B3038" s="1"/>
    </row>
    <row r="3039" spans="2:5" x14ac:dyDescent="0.35">
      <c r="B3039" s="1"/>
      <c r="E3039" s="2"/>
    </row>
    <row r="3040" spans="2:5" x14ac:dyDescent="0.35">
      <c r="B3040" s="1"/>
      <c r="E3040" s="2"/>
    </row>
    <row r="3041" spans="2:5" x14ac:dyDescent="0.35">
      <c r="B3041" s="1"/>
    </row>
    <row r="3042" spans="2:5" x14ac:dyDescent="0.35">
      <c r="B3042" s="1"/>
    </row>
    <row r="3043" spans="2:5" x14ac:dyDescent="0.35">
      <c r="B3043" s="1"/>
      <c r="E3043" s="2"/>
    </row>
    <row r="3044" spans="2:5" x14ac:dyDescent="0.35">
      <c r="B3044" s="1"/>
      <c r="E3044" s="2"/>
    </row>
    <row r="3045" spans="2:5" x14ac:dyDescent="0.35">
      <c r="B3045" s="1"/>
      <c r="E3045" s="2"/>
    </row>
    <row r="3046" spans="2:5" x14ac:dyDescent="0.35">
      <c r="B3046" s="1"/>
      <c r="E3046" s="2"/>
    </row>
    <row r="3047" spans="2:5" x14ac:dyDescent="0.35">
      <c r="B3047" s="1"/>
      <c r="E3047" s="2"/>
    </row>
    <row r="3048" spans="2:5" x14ac:dyDescent="0.35">
      <c r="B3048" s="1"/>
      <c r="E3048" s="2"/>
    </row>
    <row r="3049" spans="2:5" x14ac:dyDescent="0.35">
      <c r="B3049" s="1"/>
      <c r="E3049" s="2"/>
    </row>
    <row r="3050" spans="2:5" x14ac:dyDescent="0.35">
      <c r="B3050" s="1"/>
      <c r="E3050" s="2"/>
    </row>
    <row r="3051" spans="2:5" x14ac:dyDescent="0.35">
      <c r="B3051" s="1"/>
      <c r="E3051" s="2"/>
    </row>
    <row r="3052" spans="2:5" x14ac:dyDescent="0.35">
      <c r="B3052" s="1"/>
    </row>
    <row r="3053" spans="2:5" x14ac:dyDescent="0.35">
      <c r="B3053" s="1"/>
    </row>
    <row r="3054" spans="2:5" x14ac:dyDescent="0.35">
      <c r="B3054" s="1"/>
      <c r="E3054" s="2"/>
    </row>
    <row r="3055" spans="2:5" x14ac:dyDescent="0.35">
      <c r="B3055" s="1"/>
    </row>
    <row r="3056" spans="2:5" x14ac:dyDescent="0.35">
      <c r="B3056" s="1"/>
    </row>
    <row r="3057" spans="2:5" x14ac:dyDescent="0.35">
      <c r="B3057" s="1"/>
    </row>
    <row r="3058" spans="2:5" x14ac:dyDescent="0.35">
      <c r="B3058" s="1"/>
    </row>
    <row r="3059" spans="2:5" x14ac:dyDescent="0.35">
      <c r="B3059" s="1"/>
      <c r="E3059" s="2"/>
    </row>
    <row r="3060" spans="2:5" x14ac:dyDescent="0.35">
      <c r="B3060" s="1"/>
      <c r="E3060" s="2"/>
    </row>
    <row r="3061" spans="2:5" x14ac:dyDescent="0.35">
      <c r="B3061" s="1"/>
      <c r="E3061" s="2"/>
    </row>
    <row r="3062" spans="2:5" x14ac:dyDescent="0.35">
      <c r="B3062" s="1"/>
    </row>
    <row r="3063" spans="2:5" x14ac:dyDescent="0.35">
      <c r="B3063" s="1"/>
    </row>
    <row r="3064" spans="2:5" x14ac:dyDescent="0.35">
      <c r="B3064" s="1"/>
    </row>
    <row r="3065" spans="2:5" x14ac:dyDescent="0.35">
      <c r="B3065" s="1"/>
    </row>
    <row r="3066" spans="2:5" x14ac:dyDescent="0.35">
      <c r="B3066" s="1"/>
      <c r="E3066" s="2"/>
    </row>
    <row r="3067" spans="2:5" x14ac:dyDescent="0.35">
      <c r="B3067" s="1"/>
      <c r="E3067" s="2"/>
    </row>
    <row r="3068" spans="2:5" x14ac:dyDescent="0.35">
      <c r="B3068" s="1"/>
    </row>
    <row r="3069" spans="2:5" x14ac:dyDescent="0.35">
      <c r="B3069" s="1"/>
      <c r="E3069" s="2"/>
    </row>
    <row r="3070" spans="2:5" x14ac:dyDescent="0.35">
      <c r="B3070" s="1"/>
      <c r="E3070" s="2"/>
    </row>
    <row r="3071" spans="2:5" x14ac:dyDescent="0.35">
      <c r="B3071" s="1"/>
    </row>
    <row r="3072" spans="2:5" x14ac:dyDescent="0.35">
      <c r="B3072" s="1"/>
      <c r="E3072" s="2"/>
    </row>
    <row r="3073" spans="2:5" x14ac:dyDescent="0.35">
      <c r="B3073" s="1"/>
    </row>
    <row r="3074" spans="2:5" x14ac:dyDescent="0.35">
      <c r="B3074" s="1"/>
      <c r="E3074" s="2"/>
    </row>
    <row r="3075" spans="2:5" x14ac:dyDescent="0.35">
      <c r="B3075" s="1"/>
      <c r="E3075" s="2"/>
    </row>
    <row r="3076" spans="2:5" x14ac:dyDescent="0.35">
      <c r="B3076" s="1"/>
      <c r="E3076" s="2"/>
    </row>
    <row r="3077" spans="2:5" x14ac:dyDescent="0.35">
      <c r="B3077" s="1"/>
    </row>
    <row r="3078" spans="2:5" x14ac:dyDescent="0.35">
      <c r="B3078" s="1"/>
    </row>
    <row r="3079" spans="2:5" x14ac:dyDescent="0.35">
      <c r="B3079" s="1"/>
      <c r="E3079" s="2"/>
    </row>
    <row r="3080" spans="2:5" x14ac:dyDescent="0.35">
      <c r="B3080" s="1"/>
    </row>
    <row r="3081" spans="2:5" x14ac:dyDescent="0.35">
      <c r="B3081" s="1"/>
    </row>
    <row r="3082" spans="2:5" x14ac:dyDescent="0.35">
      <c r="B3082" s="1"/>
      <c r="E3082" s="2"/>
    </row>
    <row r="3083" spans="2:5" x14ac:dyDescent="0.35">
      <c r="B3083" s="1"/>
    </row>
    <row r="3084" spans="2:5" x14ac:dyDescent="0.35">
      <c r="B3084" s="1"/>
    </row>
    <row r="3085" spans="2:5" x14ac:dyDescent="0.35">
      <c r="B3085" s="1"/>
      <c r="E3085" s="2"/>
    </row>
    <row r="3086" spans="2:5" x14ac:dyDescent="0.35">
      <c r="B3086" s="1"/>
    </row>
    <row r="3087" spans="2:5" x14ac:dyDescent="0.35">
      <c r="B3087" s="1"/>
      <c r="E3087" s="2"/>
    </row>
    <row r="3088" spans="2:5" x14ac:dyDescent="0.35">
      <c r="B3088" s="1"/>
      <c r="E3088" s="2"/>
    </row>
    <row r="3089" spans="2:5" x14ac:dyDescent="0.35">
      <c r="B3089" s="1"/>
      <c r="E3089" s="2"/>
    </row>
    <row r="3090" spans="2:5" x14ac:dyDescent="0.35">
      <c r="B3090" s="1"/>
      <c r="E3090" s="2"/>
    </row>
    <row r="3091" spans="2:5" x14ac:dyDescent="0.35">
      <c r="B3091" s="1"/>
    </row>
    <row r="3092" spans="2:5" x14ac:dyDescent="0.35">
      <c r="B3092" s="1"/>
      <c r="E3092" s="2"/>
    </row>
    <row r="3093" spans="2:5" x14ac:dyDescent="0.35">
      <c r="B3093" s="1"/>
      <c r="E3093" s="2"/>
    </row>
    <row r="3094" spans="2:5" x14ac:dyDescent="0.35">
      <c r="B3094" s="1"/>
    </row>
    <row r="3095" spans="2:5" x14ac:dyDescent="0.35">
      <c r="B3095" s="1"/>
    </row>
    <row r="3096" spans="2:5" x14ac:dyDescent="0.35">
      <c r="B3096" s="1"/>
      <c r="E3096" s="2"/>
    </row>
    <row r="3097" spans="2:5" x14ac:dyDescent="0.35">
      <c r="B3097" s="1"/>
    </row>
    <row r="3098" spans="2:5" x14ac:dyDescent="0.35">
      <c r="B3098" s="1"/>
    </row>
    <row r="3099" spans="2:5" x14ac:dyDescent="0.35">
      <c r="B3099" s="1"/>
      <c r="E3099" s="2"/>
    </row>
    <row r="3100" spans="2:5" x14ac:dyDescent="0.35">
      <c r="B3100" s="1"/>
    </row>
    <row r="3101" spans="2:5" x14ac:dyDescent="0.35">
      <c r="B3101" s="1"/>
    </row>
    <row r="3102" spans="2:5" x14ac:dyDescent="0.35">
      <c r="B3102" s="1"/>
      <c r="E3102" s="2"/>
    </row>
    <row r="3103" spans="2:5" x14ac:dyDescent="0.35">
      <c r="B3103" s="1"/>
      <c r="E3103" s="2"/>
    </row>
    <row r="3104" spans="2:5" x14ac:dyDescent="0.35">
      <c r="B3104" s="1"/>
      <c r="E3104" s="2"/>
    </row>
    <row r="3105" spans="2:5" x14ac:dyDescent="0.35">
      <c r="B3105" s="1"/>
      <c r="E3105" s="2"/>
    </row>
    <row r="3106" spans="2:5" x14ac:dyDescent="0.35">
      <c r="B3106" s="1"/>
      <c r="E3106" s="2"/>
    </row>
    <row r="3107" spans="2:5" x14ac:dyDescent="0.35">
      <c r="B3107" s="1"/>
    </row>
    <row r="3108" spans="2:5" x14ac:dyDescent="0.35">
      <c r="B3108" s="1"/>
      <c r="E3108" s="2"/>
    </row>
    <row r="3109" spans="2:5" x14ac:dyDescent="0.35">
      <c r="B3109" s="1"/>
      <c r="E3109" s="2"/>
    </row>
    <row r="3110" spans="2:5" x14ac:dyDescent="0.35">
      <c r="B3110" s="1"/>
      <c r="E3110" s="2"/>
    </row>
    <row r="3111" spans="2:5" x14ac:dyDescent="0.35">
      <c r="B3111" s="1"/>
      <c r="E3111" s="2"/>
    </row>
    <row r="3112" spans="2:5" x14ac:dyDescent="0.35">
      <c r="B3112" s="1"/>
      <c r="E3112" s="2"/>
    </row>
    <row r="3113" spans="2:5" x14ac:dyDescent="0.35">
      <c r="B3113" s="1"/>
      <c r="E3113" s="2"/>
    </row>
    <row r="3114" spans="2:5" x14ac:dyDescent="0.35">
      <c r="B3114" s="1"/>
    </row>
    <row r="3115" spans="2:5" x14ac:dyDescent="0.35">
      <c r="B3115" s="1"/>
      <c r="E3115" s="2"/>
    </row>
    <row r="3116" spans="2:5" x14ac:dyDescent="0.35">
      <c r="B3116" s="1"/>
      <c r="E3116" s="2"/>
    </row>
    <row r="3117" spans="2:5" x14ac:dyDescent="0.35">
      <c r="B3117" s="1"/>
    </row>
    <row r="3118" spans="2:5" x14ac:dyDescent="0.35">
      <c r="B3118" s="1"/>
    </row>
    <row r="3119" spans="2:5" x14ac:dyDescent="0.35">
      <c r="B3119" s="1"/>
      <c r="E3119" s="2"/>
    </row>
    <row r="3120" spans="2:5" x14ac:dyDescent="0.35">
      <c r="B3120" s="1"/>
      <c r="E3120" s="2"/>
    </row>
    <row r="3121" spans="2:5" x14ac:dyDescent="0.35">
      <c r="B3121" s="1"/>
      <c r="E3121" s="2"/>
    </row>
    <row r="3122" spans="2:5" x14ac:dyDescent="0.35">
      <c r="B3122" s="1"/>
    </row>
    <row r="3123" spans="2:5" x14ac:dyDescent="0.35">
      <c r="B3123" s="1"/>
    </row>
    <row r="3124" spans="2:5" x14ac:dyDescent="0.35">
      <c r="B3124" s="1"/>
      <c r="E3124" s="2"/>
    </row>
    <row r="3125" spans="2:5" x14ac:dyDescent="0.35">
      <c r="B3125" s="1"/>
      <c r="E3125" s="2"/>
    </row>
    <row r="3126" spans="2:5" x14ac:dyDescent="0.35">
      <c r="B3126" s="1"/>
      <c r="E3126" s="2"/>
    </row>
    <row r="3127" spans="2:5" x14ac:dyDescent="0.35">
      <c r="B3127" s="1"/>
      <c r="E3127" s="2"/>
    </row>
    <row r="3128" spans="2:5" x14ac:dyDescent="0.35">
      <c r="B3128" s="1"/>
      <c r="E3128" s="2"/>
    </row>
    <row r="3129" spans="2:5" x14ac:dyDescent="0.35">
      <c r="B3129" s="1"/>
    </row>
    <row r="3130" spans="2:5" x14ac:dyDescent="0.35">
      <c r="B3130" s="1"/>
    </row>
    <row r="3131" spans="2:5" x14ac:dyDescent="0.35">
      <c r="B3131" s="1"/>
      <c r="E3131" s="2"/>
    </row>
    <row r="3132" spans="2:5" x14ac:dyDescent="0.35">
      <c r="B3132" s="1"/>
    </row>
    <row r="3133" spans="2:5" x14ac:dyDescent="0.35">
      <c r="B3133" s="1"/>
      <c r="E3133" s="2"/>
    </row>
    <row r="3134" spans="2:5" x14ac:dyDescent="0.35">
      <c r="B3134" s="1"/>
    </row>
    <row r="3135" spans="2:5" x14ac:dyDescent="0.35">
      <c r="B3135" s="1"/>
      <c r="E3135" s="2"/>
    </row>
    <row r="3136" spans="2:5" x14ac:dyDescent="0.35">
      <c r="B3136" s="1"/>
    </row>
    <row r="3137" spans="2:5" x14ac:dyDescent="0.35">
      <c r="B3137" s="1"/>
    </row>
    <row r="3138" spans="2:5" x14ac:dyDescent="0.35">
      <c r="B3138" s="1"/>
    </row>
    <row r="3139" spans="2:5" x14ac:dyDescent="0.35">
      <c r="B3139" s="1"/>
      <c r="E3139" s="2"/>
    </row>
    <row r="3140" spans="2:5" x14ac:dyDescent="0.35">
      <c r="B3140" s="1"/>
    </row>
    <row r="3141" spans="2:5" x14ac:dyDescent="0.35">
      <c r="B3141" s="1"/>
      <c r="E3141" s="2"/>
    </row>
    <row r="3142" spans="2:5" x14ac:dyDescent="0.35">
      <c r="B3142" s="1"/>
    </row>
    <row r="3143" spans="2:5" x14ac:dyDescent="0.35">
      <c r="B3143" s="1"/>
      <c r="E3143" s="2"/>
    </row>
    <row r="3144" spans="2:5" x14ac:dyDescent="0.35">
      <c r="B3144" s="1"/>
    </row>
    <row r="3145" spans="2:5" x14ac:dyDescent="0.35">
      <c r="B3145" s="1"/>
    </row>
    <row r="3146" spans="2:5" x14ac:dyDescent="0.35">
      <c r="B3146" s="1"/>
      <c r="E3146" s="2"/>
    </row>
    <row r="3147" spans="2:5" x14ac:dyDescent="0.35">
      <c r="B3147" s="1"/>
      <c r="E3147" s="2"/>
    </row>
    <row r="3148" spans="2:5" x14ac:dyDescent="0.35">
      <c r="B3148" s="1"/>
    </row>
    <row r="3149" spans="2:5" x14ac:dyDescent="0.35">
      <c r="B3149" s="1"/>
      <c r="E3149" s="2"/>
    </row>
    <row r="3150" spans="2:5" x14ac:dyDescent="0.35">
      <c r="B3150" s="1"/>
      <c r="E3150" s="2"/>
    </row>
    <row r="3151" spans="2:5" x14ac:dyDescent="0.35">
      <c r="B3151" s="1"/>
    </row>
    <row r="3152" spans="2:5" x14ac:dyDescent="0.35">
      <c r="B3152" s="1"/>
      <c r="E3152" s="2"/>
    </row>
    <row r="3153" spans="2:5" x14ac:dyDescent="0.35">
      <c r="B3153" s="1"/>
    </row>
    <row r="3154" spans="2:5" x14ac:dyDescent="0.35">
      <c r="B3154" s="1"/>
      <c r="E3154" s="2"/>
    </row>
    <row r="3155" spans="2:5" x14ac:dyDescent="0.35">
      <c r="B3155" s="1"/>
    </row>
    <row r="3156" spans="2:5" x14ac:dyDescent="0.35">
      <c r="B3156" s="1"/>
      <c r="E3156" s="2"/>
    </row>
    <row r="3157" spans="2:5" x14ac:dyDescent="0.35">
      <c r="B3157" s="1"/>
    </row>
    <row r="3158" spans="2:5" x14ac:dyDescent="0.35">
      <c r="B3158" s="1"/>
      <c r="E3158" s="2"/>
    </row>
    <row r="3159" spans="2:5" x14ac:dyDescent="0.35">
      <c r="B3159" s="1"/>
    </row>
    <row r="3160" spans="2:5" x14ac:dyDescent="0.35">
      <c r="B3160" s="1"/>
      <c r="E3160" s="2"/>
    </row>
    <row r="3161" spans="2:5" x14ac:dyDescent="0.35">
      <c r="B3161" s="1"/>
      <c r="E3161" s="2"/>
    </row>
    <row r="3162" spans="2:5" x14ac:dyDescent="0.35">
      <c r="B3162" s="1"/>
    </row>
    <row r="3163" spans="2:5" x14ac:dyDescent="0.35">
      <c r="B3163" s="1"/>
      <c r="E3163" s="2"/>
    </row>
    <row r="3164" spans="2:5" x14ac:dyDescent="0.35">
      <c r="B3164" s="1"/>
    </row>
    <row r="3165" spans="2:5" x14ac:dyDescent="0.35">
      <c r="B3165" s="1"/>
      <c r="E3165" s="2"/>
    </row>
    <row r="3166" spans="2:5" x14ac:dyDescent="0.35">
      <c r="B3166" s="1"/>
      <c r="E3166" s="2"/>
    </row>
    <row r="3167" spans="2:5" x14ac:dyDescent="0.35">
      <c r="B3167" s="1"/>
      <c r="E3167" s="2"/>
    </row>
    <row r="3168" spans="2:5" x14ac:dyDescent="0.35">
      <c r="B3168" s="1"/>
    </row>
    <row r="3169" spans="2:5" x14ac:dyDescent="0.35">
      <c r="B3169" s="1"/>
      <c r="E3169" s="2"/>
    </row>
    <row r="3170" spans="2:5" x14ac:dyDescent="0.35">
      <c r="B3170" s="1"/>
    </row>
    <row r="3171" spans="2:5" x14ac:dyDescent="0.35">
      <c r="B3171" s="1"/>
    </row>
    <row r="3172" spans="2:5" x14ac:dyDescent="0.35">
      <c r="B3172" s="1"/>
    </row>
    <row r="3173" spans="2:5" x14ac:dyDescent="0.35">
      <c r="B3173" s="1"/>
    </row>
    <row r="3174" spans="2:5" x14ac:dyDescent="0.35">
      <c r="B3174" s="1"/>
    </row>
    <row r="3175" spans="2:5" x14ac:dyDescent="0.35">
      <c r="B3175" s="1"/>
    </row>
    <row r="3176" spans="2:5" x14ac:dyDescent="0.35">
      <c r="B3176" s="1"/>
    </row>
    <row r="3177" spans="2:5" x14ac:dyDescent="0.35">
      <c r="B3177" s="1"/>
      <c r="E3177" s="2"/>
    </row>
    <row r="3178" spans="2:5" x14ac:dyDescent="0.35">
      <c r="B3178" s="1"/>
    </row>
    <row r="3179" spans="2:5" x14ac:dyDescent="0.35">
      <c r="B3179" s="1"/>
      <c r="E3179" s="2"/>
    </row>
    <row r="3180" spans="2:5" x14ac:dyDescent="0.35">
      <c r="B3180" s="1"/>
      <c r="E3180" s="2"/>
    </row>
    <row r="3181" spans="2:5" x14ac:dyDescent="0.35">
      <c r="B3181" s="1"/>
    </row>
    <row r="3182" spans="2:5" x14ac:dyDescent="0.35">
      <c r="B3182" s="1"/>
    </row>
    <row r="3183" spans="2:5" x14ac:dyDescent="0.35">
      <c r="B3183" s="1"/>
    </row>
    <row r="3184" spans="2:5" x14ac:dyDescent="0.35">
      <c r="B3184" s="1"/>
      <c r="E3184" s="2"/>
    </row>
    <row r="3185" spans="2:5" x14ac:dyDescent="0.35">
      <c r="B3185" s="1"/>
    </row>
    <row r="3186" spans="2:5" x14ac:dyDescent="0.35">
      <c r="B3186" s="1"/>
      <c r="E3186" s="2"/>
    </row>
    <row r="3187" spans="2:5" x14ac:dyDescent="0.35">
      <c r="B3187" s="1"/>
    </row>
    <row r="3188" spans="2:5" x14ac:dyDescent="0.35">
      <c r="B3188" s="1"/>
    </row>
    <row r="3189" spans="2:5" x14ac:dyDescent="0.35">
      <c r="B3189" s="1"/>
    </row>
    <row r="3190" spans="2:5" x14ac:dyDescent="0.35">
      <c r="B3190" s="1"/>
      <c r="E3190" s="2"/>
    </row>
    <row r="3191" spans="2:5" x14ac:dyDescent="0.35">
      <c r="B3191" s="1"/>
      <c r="E3191" s="2"/>
    </row>
    <row r="3192" spans="2:5" x14ac:dyDescent="0.35">
      <c r="B3192" s="1"/>
    </row>
    <row r="3193" spans="2:5" x14ac:dyDescent="0.35">
      <c r="B3193" s="1"/>
      <c r="E3193" s="2"/>
    </row>
    <row r="3194" spans="2:5" x14ac:dyDescent="0.35">
      <c r="B3194" s="1"/>
      <c r="E3194" s="2"/>
    </row>
    <row r="3195" spans="2:5" x14ac:dyDescent="0.35">
      <c r="B3195" s="1"/>
      <c r="E3195" s="2"/>
    </row>
    <row r="3196" spans="2:5" x14ac:dyDescent="0.35">
      <c r="B3196" s="1"/>
    </row>
    <row r="3197" spans="2:5" x14ac:dyDescent="0.35">
      <c r="B3197" s="1"/>
      <c r="E3197" s="2"/>
    </row>
    <row r="3198" spans="2:5" x14ac:dyDescent="0.35">
      <c r="B3198" s="1"/>
    </row>
    <row r="3199" spans="2:5" x14ac:dyDescent="0.35">
      <c r="B3199" s="1"/>
      <c r="E3199" s="2"/>
    </row>
    <row r="3200" spans="2:5" x14ac:dyDescent="0.35">
      <c r="B3200" s="1"/>
      <c r="E3200" s="2"/>
    </row>
    <row r="3201" spans="2:5" x14ac:dyDescent="0.35">
      <c r="B3201" s="1"/>
    </row>
    <row r="3202" spans="2:5" x14ac:dyDescent="0.35">
      <c r="B3202" s="1"/>
    </row>
    <row r="3203" spans="2:5" x14ac:dyDescent="0.35">
      <c r="B3203" s="1"/>
      <c r="E3203" s="2"/>
    </row>
    <row r="3204" spans="2:5" x14ac:dyDescent="0.35">
      <c r="B3204" s="1"/>
      <c r="E3204" s="2"/>
    </row>
    <row r="3205" spans="2:5" x14ac:dyDescent="0.35">
      <c r="B3205" s="1"/>
      <c r="E3205" s="2"/>
    </row>
    <row r="3206" spans="2:5" x14ac:dyDescent="0.35">
      <c r="B3206" s="1"/>
    </row>
    <row r="3207" spans="2:5" x14ac:dyDescent="0.35">
      <c r="B3207" s="1"/>
    </row>
    <row r="3208" spans="2:5" x14ac:dyDescent="0.35">
      <c r="B3208" s="1"/>
      <c r="E3208" s="2"/>
    </row>
    <row r="3209" spans="2:5" x14ac:dyDescent="0.35">
      <c r="B3209" s="1"/>
      <c r="E3209" s="2"/>
    </row>
    <row r="3210" spans="2:5" x14ac:dyDescent="0.35">
      <c r="B3210" s="1"/>
    </row>
    <row r="3211" spans="2:5" x14ac:dyDescent="0.35">
      <c r="B3211" s="1"/>
      <c r="E3211" s="2"/>
    </row>
    <row r="3212" spans="2:5" x14ac:dyDescent="0.35">
      <c r="B3212" s="1"/>
      <c r="E3212" s="2"/>
    </row>
    <row r="3213" spans="2:5" x14ac:dyDescent="0.35">
      <c r="B3213" s="1"/>
      <c r="E3213" s="2"/>
    </row>
    <row r="3214" spans="2:5" x14ac:dyDescent="0.35">
      <c r="B3214" s="1"/>
      <c r="E3214" s="2"/>
    </row>
    <row r="3215" spans="2:5" x14ac:dyDescent="0.35">
      <c r="B3215" s="1"/>
      <c r="E3215" s="2"/>
    </row>
    <row r="3216" spans="2:5" x14ac:dyDescent="0.35">
      <c r="B3216" s="1"/>
      <c r="E3216" s="2"/>
    </row>
    <row r="3217" spans="2:5" x14ac:dyDescent="0.35">
      <c r="B3217" s="1"/>
      <c r="E3217" s="2"/>
    </row>
    <row r="3218" spans="2:5" x14ac:dyDescent="0.35">
      <c r="B3218" s="1"/>
    </row>
    <row r="3219" spans="2:5" x14ac:dyDescent="0.35">
      <c r="B3219" s="1"/>
    </row>
    <row r="3220" spans="2:5" x14ac:dyDescent="0.35">
      <c r="B3220" s="1"/>
      <c r="E3220" s="2"/>
    </row>
    <row r="3221" spans="2:5" x14ac:dyDescent="0.35">
      <c r="B3221" s="1"/>
    </row>
    <row r="3222" spans="2:5" x14ac:dyDescent="0.35">
      <c r="B3222" s="1"/>
      <c r="E3222" s="2"/>
    </row>
    <row r="3223" spans="2:5" x14ac:dyDescent="0.35">
      <c r="B3223" s="1"/>
      <c r="E3223" s="2"/>
    </row>
    <row r="3224" spans="2:5" x14ac:dyDescent="0.35">
      <c r="B3224" s="1"/>
    </row>
    <row r="3225" spans="2:5" x14ac:dyDescent="0.35">
      <c r="B3225" s="1"/>
    </row>
    <row r="3226" spans="2:5" x14ac:dyDescent="0.35">
      <c r="B3226" s="1"/>
      <c r="E3226" s="2"/>
    </row>
    <row r="3227" spans="2:5" x14ac:dyDescent="0.35">
      <c r="B3227" s="1"/>
    </row>
    <row r="3228" spans="2:5" x14ac:dyDescent="0.35">
      <c r="B3228" s="1"/>
    </row>
    <row r="3229" spans="2:5" x14ac:dyDescent="0.35">
      <c r="B3229" s="1"/>
    </row>
    <row r="3230" spans="2:5" x14ac:dyDescent="0.35">
      <c r="B3230" s="1"/>
    </row>
    <row r="3231" spans="2:5" x14ac:dyDescent="0.35">
      <c r="B3231" s="1"/>
      <c r="E3231" s="2"/>
    </row>
    <row r="3232" spans="2:5" x14ac:dyDescent="0.35">
      <c r="B3232" s="1"/>
      <c r="E3232" s="2"/>
    </row>
    <row r="3233" spans="2:5" x14ac:dyDescent="0.35">
      <c r="B3233" s="1"/>
    </row>
    <row r="3234" spans="2:5" x14ac:dyDescent="0.35">
      <c r="B3234" s="1"/>
      <c r="E3234" s="2"/>
    </row>
    <row r="3235" spans="2:5" x14ac:dyDescent="0.35">
      <c r="B3235" s="1"/>
    </row>
    <row r="3236" spans="2:5" x14ac:dyDescent="0.35">
      <c r="B3236" s="1"/>
      <c r="E3236" s="2"/>
    </row>
    <row r="3237" spans="2:5" x14ac:dyDescent="0.35">
      <c r="B3237" s="1"/>
    </row>
    <row r="3238" spans="2:5" x14ac:dyDescent="0.35">
      <c r="B3238" s="1"/>
    </row>
    <row r="3239" spans="2:5" x14ac:dyDescent="0.35">
      <c r="B3239" s="1"/>
      <c r="E3239" s="2"/>
    </row>
    <row r="3240" spans="2:5" x14ac:dyDescent="0.35">
      <c r="B3240" s="1"/>
    </row>
    <row r="3241" spans="2:5" x14ac:dyDescent="0.35">
      <c r="B3241" s="1"/>
    </row>
    <row r="3242" spans="2:5" x14ac:dyDescent="0.35">
      <c r="B3242" s="1"/>
    </row>
    <row r="3243" spans="2:5" x14ac:dyDescent="0.35">
      <c r="B3243" s="1"/>
    </row>
    <row r="3244" spans="2:5" x14ac:dyDescent="0.35">
      <c r="B3244" s="1"/>
    </row>
    <row r="3245" spans="2:5" x14ac:dyDescent="0.35">
      <c r="B3245" s="1"/>
      <c r="E3245" s="2"/>
    </row>
    <row r="3246" spans="2:5" x14ac:dyDescent="0.35">
      <c r="B3246" s="1"/>
    </row>
    <row r="3247" spans="2:5" x14ac:dyDescent="0.35">
      <c r="B3247" s="1"/>
      <c r="E3247" s="2"/>
    </row>
    <row r="3248" spans="2:5" x14ac:dyDescent="0.35">
      <c r="B3248" s="1"/>
      <c r="E3248" s="2"/>
    </row>
    <row r="3249" spans="2:5" x14ac:dyDescent="0.35">
      <c r="B3249" s="1"/>
      <c r="E3249" s="2"/>
    </row>
    <row r="3250" spans="2:5" x14ac:dyDescent="0.35">
      <c r="B3250" s="1"/>
    </row>
    <row r="3251" spans="2:5" x14ac:dyDescent="0.35">
      <c r="B3251" s="1"/>
    </row>
    <row r="3252" spans="2:5" x14ac:dyDescent="0.35">
      <c r="B3252" s="1"/>
    </row>
    <row r="3253" spans="2:5" x14ac:dyDescent="0.35">
      <c r="B3253" s="1"/>
    </row>
    <row r="3254" spans="2:5" x14ac:dyDescent="0.35">
      <c r="B3254" s="1"/>
    </row>
    <row r="3255" spans="2:5" x14ac:dyDescent="0.35">
      <c r="B3255" s="1"/>
    </row>
    <row r="3256" spans="2:5" x14ac:dyDescent="0.35">
      <c r="B3256" s="1"/>
      <c r="E3256" s="2"/>
    </row>
    <row r="3257" spans="2:5" x14ac:dyDescent="0.35">
      <c r="B3257" s="1"/>
      <c r="E3257" s="2"/>
    </row>
    <row r="3258" spans="2:5" x14ac:dyDescent="0.35">
      <c r="B3258" s="1"/>
    </row>
    <row r="3259" spans="2:5" x14ac:dyDescent="0.35">
      <c r="B3259" s="1"/>
      <c r="E3259" s="2"/>
    </row>
    <row r="3260" spans="2:5" x14ac:dyDescent="0.35">
      <c r="B3260" s="1"/>
      <c r="E3260" s="2"/>
    </row>
    <row r="3261" spans="2:5" x14ac:dyDescent="0.35">
      <c r="B3261" s="1"/>
      <c r="E3261" s="2"/>
    </row>
    <row r="3262" spans="2:5" x14ac:dyDescent="0.35">
      <c r="B3262" s="1"/>
      <c r="E3262" s="2"/>
    </row>
    <row r="3263" spans="2:5" x14ac:dyDescent="0.35">
      <c r="B3263" s="1"/>
    </row>
    <row r="3264" spans="2:5" x14ac:dyDescent="0.35">
      <c r="B3264" s="1"/>
      <c r="E3264" s="2"/>
    </row>
    <row r="3265" spans="2:5" x14ac:dyDescent="0.35">
      <c r="B3265" s="1"/>
    </row>
    <row r="3266" spans="2:5" x14ac:dyDescent="0.35">
      <c r="B3266" s="1"/>
      <c r="E3266" s="2"/>
    </row>
    <row r="3267" spans="2:5" x14ac:dyDescent="0.35">
      <c r="B3267" s="1"/>
    </row>
    <row r="3268" spans="2:5" x14ac:dyDescent="0.35">
      <c r="B3268" s="1"/>
    </row>
    <row r="3269" spans="2:5" x14ac:dyDescent="0.35">
      <c r="B3269" s="1"/>
      <c r="E3269" s="2"/>
    </row>
    <row r="3270" spans="2:5" x14ac:dyDescent="0.35">
      <c r="B3270" s="1"/>
    </row>
    <row r="3271" spans="2:5" x14ac:dyDescent="0.35">
      <c r="B3271" s="1"/>
      <c r="E3271" s="2"/>
    </row>
    <row r="3272" spans="2:5" x14ac:dyDescent="0.35">
      <c r="B3272" s="1"/>
      <c r="E3272" s="2"/>
    </row>
    <row r="3273" spans="2:5" x14ac:dyDescent="0.35">
      <c r="B3273" s="1"/>
    </row>
    <row r="3274" spans="2:5" x14ac:dyDescent="0.35">
      <c r="B3274" s="1"/>
      <c r="E3274" s="2"/>
    </row>
    <row r="3275" spans="2:5" x14ac:dyDescent="0.35">
      <c r="B3275" s="1"/>
    </row>
    <row r="3276" spans="2:5" x14ac:dyDescent="0.35">
      <c r="B3276" s="1"/>
    </row>
    <row r="3277" spans="2:5" x14ac:dyDescent="0.35">
      <c r="B3277" s="1"/>
    </row>
    <row r="3278" spans="2:5" x14ac:dyDescent="0.35">
      <c r="B3278" s="1"/>
      <c r="E3278" s="2"/>
    </row>
    <row r="3279" spans="2:5" x14ac:dyDescent="0.35">
      <c r="B3279" s="1"/>
    </row>
    <row r="3280" spans="2:5" x14ac:dyDescent="0.35">
      <c r="B3280" s="1"/>
    </row>
    <row r="3281" spans="2:5" x14ac:dyDescent="0.35">
      <c r="B3281" s="1"/>
      <c r="E3281" s="2"/>
    </row>
    <row r="3282" spans="2:5" x14ac:dyDescent="0.35">
      <c r="B3282" s="1"/>
    </row>
    <row r="3283" spans="2:5" x14ac:dyDescent="0.35">
      <c r="B3283" s="1"/>
    </row>
    <row r="3284" spans="2:5" x14ac:dyDescent="0.35">
      <c r="B3284" s="1"/>
      <c r="E3284" s="2"/>
    </row>
    <row r="3285" spans="2:5" x14ac:dyDescent="0.35">
      <c r="B3285" s="1"/>
      <c r="E3285" s="2"/>
    </row>
    <row r="3286" spans="2:5" x14ac:dyDescent="0.35">
      <c r="B3286" s="1"/>
    </row>
    <row r="3287" spans="2:5" x14ac:dyDescent="0.35">
      <c r="B3287" s="1"/>
    </row>
    <row r="3288" spans="2:5" x14ac:dyDescent="0.35">
      <c r="B3288" s="1"/>
      <c r="E3288" s="2"/>
    </row>
    <row r="3289" spans="2:5" x14ac:dyDescent="0.35">
      <c r="B3289" s="1"/>
      <c r="E3289" s="2"/>
    </row>
    <row r="3290" spans="2:5" x14ac:dyDescent="0.35">
      <c r="B3290" s="1"/>
      <c r="E3290" s="2"/>
    </row>
    <row r="3291" spans="2:5" x14ac:dyDescent="0.35">
      <c r="B3291" s="1"/>
    </row>
    <row r="3292" spans="2:5" x14ac:dyDescent="0.35">
      <c r="B3292" s="1"/>
      <c r="E3292" s="2"/>
    </row>
    <row r="3293" spans="2:5" x14ac:dyDescent="0.35">
      <c r="B3293" s="1"/>
      <c r="E3293" s="2"/>
    </row>
    <row r="3294" spans="2:5" x14ac:dyDescent="0.35">
      <c r="B3294" s="1"/>
    </row>
    <row r="3295" spans="2:5" x14ac:dyDescent="0.35">
      <c r="B3295" s="1"/>
    </row>
    <row r="3296" spans="2:5" x14ac:dyDescent="0.35">
      <c r="B3296" s="1"/>
      <c r="E3296" s="2"/>
    </row>
    <row r="3297" spans="2:5" x14ac:dyDescent="0.35">
      <c r="B3297" s="1"/>
    </row>
    <row r="3298" spans="2:5" x14ac:dyDescent="0.35">
      <c r="B3298" s="1"/>
    </row>
    <row r="3299" spans="2:5" x14ac:dyDescent="0.35">
      <c r="B3299" s="1"/>
      <c r="E3299" s="2"/>
    </row>
    <row r="3300" spans="2:5" x14ac:dyDescent="0.35">
      <c r="B3300" s="1"/>
      <c r="E3300" s="2"/>
    </row>
    <row r="3301" spans="2:5" x14ac:dyDescent="0.35">
      <c r="B3301" s="1"/>
    </row>
    <row r="3302" spans="2:5" x14ac:dyDescent="0.35">
      <c r="B3302" s="1"/>
    </row>
    <row r="3303" spans="2:5" x14ac:dyDescent="0.35">
      <c r="B3303" s="1"/>
      <c r="E3303" s="2"/>
    </row>
    <row r="3304" spans="2:5" x14ac:dyDescent="0.35">
      <c r="B3304" s="1"/>
    </row>
    <row r="3305" spans="2:5" x14ac:dyDescent="0.35">
      <c r="B3305" s="1"/>
    </row>
    <row r="3306" spans="2:5" x14ac:dyDescent="0.35">
      <c r="B3306" s="1"/>
      <c r="E3306" s="2"/>
    </row>
    <row r="3307" spans="2:5" x14ac:dyDescent="0.35">
      <c r="B3307" s="1"/>
    </row>
    <row r="3308" spans="2:5" x14ac:dyDescent="0.35">
      <c r="B3308" s="1"/>
      <c r="E3308" s="2"/>
    </row>
    <row r="3309" spans="2:5" x14ac:dyDescent="0.35">
      <c r="B3309" s="1"/>
    </row>
    <row r="3310" spans="2:5" x14ac:dyDescent="0.35">
      <c r="B3310" s="1"/>
      <c r="E3310" s="2"/>
    </row>
    <row r="3311" spans="2:5" x14ac:dyDescent="0.35">
      <c r="B3311" s="1"/>
    </row>
    <row r="3312" spans="2:5" x14ac:dyDescent="0.35">
      <c r="B3312" s="1"/>
      <c r="E3312" s="2"/>
    </row>
    <row r="3313" spans="2:5" x14ac:dyDescent="0.35">
      <c r="B3313" s="1"/>
      <c r="E3313" s="2"/>
    </row>
    <row r="3314" spans="2:5" x14ac:dyDescent="0.35">
      <c r="B3314" s="1"/>
      <c r="E3314" s="2"/>
    </row>
    <row r="3315" spans="2:5" x14ac:dyDescent="0.35">
      <c r="B3315" s="1"/>
      <c r="E3315" s="2"/>
    </row>
    <row r="3316" spans="2:5" x14ac:dyDescent="0.35">
      <c r="B3316" s="1"/>
      <c r="E3316" s="2"/>
    </row>
    <row r="3317" spans="2:5" x14ac:dyDescent="0.35">
      <c r="B3317" s="1"/>
      <c r="E3317" s="2"/>
    </row>
    <row r="3318" spans="2:5" x14ac:dyDescent="0.35">
      <c r="B3318" s="1"/>
      <c r="E3318" s="2"/>
    </row>
    <row r="3319" spans="2:5" x14ac:dyDescent="0.35">
      <c r="B3319" s="1"/>
      <c r="E3319" s="2"/>
    </row>
    <row r="3320" spans="2:5" x14ac:dyDescent="0.35">
      <c r="B3320" s="1"/>
      <c r="E3320" s="2"/>
    </row>
    <row r="3321" spans="2:5" x14ac:dyDescent="0.35">
      <c r="B3321" s="1"/>
      <c r="E3321" s="2"/>
    </row>
    <row r="3322" spans="2:5" x14ac:dyDescent="0.35">
      <c r="B3322" s="1"/>
      <c r="E3322" s="2"/>
    </row>
    <row r="3323" spans="2:5" x14ac:dyDescent="0.35">
      <c r="B3323" s="1"/>
      <c r="E3323" s="2"/>
    </row>
    <row r="3324" spans="2:5" x14ac:dyDescent="0.35">
      <c r="B3324" s="1"/>
      <c r="E3324" s="2"/>
    </row>
    <row r="3325" spans="2:5" x14ac:dyDescent="0.35">
      <c r="B3325" s="1"/>
    </row>
    <row r="3326" spans="2:5" x14ac:dyDescent="0.35">
      <c r="B3326" s="1"/>
      <c r="E3326" s="2"/>
    </row>
    <row r="3327" spans="2:5" x14ac:dyDescent="0.35">
      <c r="B3327" s="1"/>
      <c r="E3327" s="2"/>
    </row>
    <row r="3328" spans="2:5" x14ac:dyDescent="0.35">
      <c r="B3328" s="1"/>
    </row>
    <row r="3329" spans="2:5" x14ac:dyDescent="0.35">
      <c r="B3329" s="1"/>
    </row>
    <row r="3330" spans="2:5" x14ac:dyDescent="0.35">
      <c r="B3330" s="1"/>
      <c r="E3330" s="2"/>
    </row>
    <row r="3331" spans="2:5" x14ac:dyDescent="0.35">
      <c r="B3331" s="1"/>
    </row>
    <row r="3332" spans="2:5" x14ac:dyDescent="0.35">
      <c r="B3332" s="1"/>
    </row>
    <row r="3333" spans="2:5" x14ac:dyDescent="0.35">
      <c r="B3333" s="1"/>
      <c r="E3333" s="2"/>
    </row>
    <row r="3334" spans="2:5" x14ac:dyDescent="0.35">
      <c r="B3334" s="1"/>
      <c r="E3334" s="2"/>
    </row>
    <row r="3335" spans="2:5" x14ac:dyDescent="0.35">
      <c r="B3335" s="1"/>
    </row>
    <row r="3336" spans="2:5" x14ac:dyDescent="0.35">
      <c r="B3336" s="1"/>
    </row>
    <row r="3337" spans="2:5" x14ac:dyDescent="0.35">
      <c r="B3337" s="1"/>
      <c r="E3337" s="2"/>
    </row>
    <row r="3338" spans="2:5" x14ac:dyDescent="0.35">
      <c r="B3338" s="1"/>
      <c r="E3338" s="2"/>
    </row>
    <row r="3339" spans="2:5" x14ac:dyDescent="0.35">
      <c r="B3339" s="1"/>
      <c r="E3339" s="2"/>
    </row>
    <row r="3340" spans="2:5" x14ac:dyDescent="0.35">
      <c r="B3340" s="1"/>
    </row>
    <row r="3341" spans="2:5" x14ac:dyDescent="0.35">
      <c r="B3341" s="1"/>
    </row>
    <row r="3342" spans="2:5" x14ac:dyDescent="0.35">
      <c r="B3342" s="1"/>
      <c r="E3342" s="2"/>
    </row>
    <row r="3343" spans="2:5" x14ac:dyDescent="0.35">
      <c r="B3343" s="1"/>
    </row>
    <row r="3344" spans="2:5" x14ac:dyDescent="0.35">
      <c r="B3344" s="1"/>
      <c r="E3344" s="2"/>
    </row>
    <row r="3345" spans="2:5" x14ac:dyDescent="0.35">
      <c r="B3345" s="1"/>
      <c r="E3345" s="2"/>
    </row>
    <row r="3346" spans="2:5" x14ac:dyDescent="0.35">
      <c r="B3346" s="1"/>
    </row>
    <row r="3347" spans="2:5" x14ac:dyDescent="0.35">
      <c r="B3347" s="1"/>
    </row>
    <row r="3348" spans="2:5" x14ac:dyDescent="0.35">
      <c r="B3348" s="1"/>
      <c r="E3348" s="2"/>
    </row>
    <row r="3349" spans="2:5" x14ac:dyDescent="0.35">
      <c r="B3349" s="1"/>
    </row>
    <row r="3350" spans="2:5" x14ac:dyDescent="0.35">
      <c r="B3350" s="1"/>
    </row>
    <row r="3351" spans="2:5" x14ac:dyDescent="0.35">
      <c r="B3351" s="1"/>
      <c r="E3351" s="2"/>
    </row>
    <row r="3352" spans="2:5" x14ac:dyDescent="0.35">
      <c r="B3352" s="1"/>
    </row>
    <row r="3353" spans="2:5" x14ac:dyDescent="0.35">
      <c r="B3353" s="1"/>
      <c r="E3353" s="2"/>
    </row>
    <row r="3354" spans="2:5" x14ac:dyDescent="0.35">
      <c r="B3354" s="1"/>
    </row>
    <row r="3355" spans="2:5" x14ac:dyDescent="0.35">
      <c r="B3355" s="1"/>
      <c r="E3355" s="2"/>
    </row>
    <row r="3356" spans="2:5" x14ac:dyDescent="0.35">
      <c r="B3356" s="1"/>
    </row>
    <row r="3357" spans="2:5" x14ac:dyDescent="0.35">
      <c r="B3357" s="1"/>
    </row>
    <row r="3358" spans="2:5" x14ac:dyDescent="0.35">
      <c r="B3358" s="1"/>
    </row>
    <row r="3359" spans="2:5" x14ac:dyDescent="0.35">
      <c r="B3359" s="1"/>
      <c r="E3359" s="2"/>
    </row>
    <row r="3360" spans="2:5" x14ac:dyDescent="0.35">
      <c r="B3360" s="1"/>
      <c r="E3360" s="2"/>
    </row>
    <row r="3361" spans="2:5" x14ac:dyDescent="0.35">
      <c r="B3361" s="1"/>
    </row>
    <row r="3362" spans="2:5" x14ac:dyDescent="0.35">
      <c r="B3362" s="1"/>
    </row>
    <row r="3363" spans="2:5" x14ac:dyDescent="0.35">
      <c r="B3363" s="1"/>
      <c r="E3363" s="2"/>
    </row>
    <row r="3364" spans="2:5" x14ac:dyDescent="0.35">
      <c r="B3364" s="1"/>
      <c r="E3364" s="2"/>
    </row>
    <row r="3365" spans="2:5" x14ac:dyDescent="0.35">
      <c r="B3365" s="1"/>
    </row>
    <row r="3366" spans="2:5" x14ac:dyDescent="0.35">
      <c r="B3366" s="1"/>
    </row>
    <row r="3367" spans="2:5" x14ac:dyDescent="0.35">
      <c r="B3367" s="1"/>
      <c r="E3367" s="2"/>
    </row>
    <row r="3368" spans="2:5" x14ac:dyDescent="0.35">
      <c r="B3368" s="1"/>
      <c r="E3368" s="2"/>
    </row>
    <row r="3369" spans="2:5" x14ac:dyDescent="0.35">
      <c r="B3369" s="1"/>
    </row>
    <row r="3370" spans="2:5" x14ac:dyDescent="0.35">
      <c r="B3370" s="1"/>
    </row>
    <row r="3371" spans="2:5" x14ac:dyDescent="0.35">
      <c r="B3371" s="1"/>
    </row>
    <row r="3372" spans="2:5" x14ac:dyDescent="0.35">
      <c r="B3372" s="1"/>
      <c r="E3372" s="2"/>
    </row>
    <row r="3373" spans="2:5" x14ac:dyDescent="0.35">
      <c r="B3373" s="1"/>
      <c r="E3373" s="2"/>
    </row>
    <row r="3374" spans="2:5" x14ac:dyDescent="0.35">
      <c r="B3374" s="1"/>
      <c r="E3374" s="2"/>
    </row>
    <row r="3375" spans="2:5" x14ac:dyDescent="0.35">
      <c r="B3375" s="1"/>
    </row>
    <row r="3376" spans="2:5" x14ac:dyDescent="0.35">
      <c r="B3376" s="1"/>
      <c r="E3376" s="2"/>
    </row>
    <row r="3377" spans="2:5" x14ac:dyDescent="0.35">
      <c r="B3377" s="1"/>
    </row>
    <row r="3378" spans="2:5" x14ac:dyDescent="0.35">
      <c r="B3378" s="1"/>
      <c r="E3378" s="2"/>
    </row>
    <row r="3379" spans="2:5" x14ac:dyDescent="0.35">
      <c r="B3379" s="1"/>
    </row>
    <row r="3380" spans="2:5" x14ac:dyDescent="0.35">
      <c r="B3380" s="1"/>
    </row>
    <row r="3381" spans="2:5" x14ac:dyDescent="0.35">
      <c r="B3381" s="1"/>
    </row>
    <row r="3382" spans="2:5" x14ac:dyDescent="0.35">
      <c r="B3382" s="1"/>
    </row>
    <row r="3383" spans="2:5" x14ac:dyDescent="0.35">
      <c r="B3383" s="1"/>
      <c r="E3383" s="2"/>
    </row>
    <row r="3384" spans="2:5" x14ac:dyDescent="0.35">
      <c r="B3384" s="1"/>
    </row>
    <row r="3385" spans="2:5" x14ac:dyDescent="0.35">
      <c r="B3385" s="1"/>
      <c r="E3385" s="2"/>
    </row>
    <row r="3386" spans="2:5" x14ac:dyDescent="0.35">
      <c r="B3386" s="1"/>
    </row>
    <row r="3387" spans="2:5" x14ac:dyDescent="0.35">
      <c r="B3387" s="1"/>
    </row>
    <row r="3388" spans="2:5" x14ac:dyDescent="0.35">
      <c r="B3388" s="1"/>
      <c r="E3388" s="2"/>
    </row>
    <row r="3389" spans="2:5" x14ac:dyDescent="0.35">
      <c r="B3389" s="1"/>
      <c r="E3389" s="2"/>
    </row>
    <row r="3390" spans="2:5" x14ac:dyDescent="0.35">
      <c r="B3390" s="1"/>
      <c r="E3390" s="2"/>
    </row>
    <row r="3391" spans="2:5" x14ac:dyDescent="0.35">
      <c r="B3391" s="1"/>
      <c r="E3391" s="2"/>
    </row>
    <row r="3392" spans="2:5" x14ac:dyDescent="0.35">
      <c r="B3392" s="1"/>
      <c r="E3392" s="2"/>
    </row>
    <row r="3393" spans="2:5" x14ac:dyDescent="0.35">
      <c r="B3393" s="1"/>
      <c r="E3393" s="2"/>
    </row>
    <row r="3394" spans="2:5" x14ac:dyDescent="0.35">
      <c r="B3394" s="1"/>
    </row>
    <row r="3395" spans="2:5" x14ac:dyDescent="0.35">
      <c r="B3395" s="1"/>
      <c r="E3395" s="2"/>
    </row>
    <row r="3396" spans="2:5" x14ac:dyDescent="0.35">
      <c r="B3396" s="1"/>
      <c r="E3396" s="2"/>
    </row>
    <row r="3397" spans="2:5" x14ac:dyDescent="0.35">
      <c r="B3397" s="1"/>
      <c r="E3397" s="2"/>
    </row>
    <row r="3398" spans="2:5" x14ac:dyDescent="0.35">
      <c r="B3398" s="1"/>
      <c r="E3398" s="2"/>
    </row>
    <row r="3399" spans="2:5" x14ac:dyDescent="0.35">
      <c r="B3399" s="1"/>
      <c r="E3399" s="2"/>
    </row>
    <row r="3400" spans="2:5" x14ac:dyDescent="0.35">
      <c r="B3400" s="1"/>
      <c r="E3400" s="2"/>
    </row>
    <row r="3401" spans="2:5" x14ac:dyDescent="0.35">
      <c r="B3401" s="1"/>
      <c r="E3401" s="2"/>
    </row>
    <row r="3402" spans="2:5" x14ac:dyDescent="0.35">
      <c r="B3402" s="1"/>
      <c r="E3402" s="2"/>
    </row>
    <row r="3403" spans="2:5" x14ac:dyDescent="0.35">
      <c r="B3403" s="1"/>
    </row>
    <row r="3404" spans="2:5" x14ac:dyDescent="0.35">
      <c r="B3404" s="1"/>
      <c r="E3404" s="2"/>
    </row>
    <row r="3405" spans="2:5" x14ac:dyDescent="0.35">
      <c r="B3405" s="1"/>
    </row>
    <row r="3406" spans="2:5" x14ac:dyDescent="0.35">
      <c r="B3406" s="1"/>
    </row>
    <row r="3407" spans="2:5" x14ac:dyDescent="0.35">
      <c r="B3407" s="1"/>
      <c r="E3407" s="2"/>
    </row>
    <row r="3408" spans="2:5" x14ac:dyDescent="0.35">
      <c r="B3408" s="1"/>
      <c r="E3408" s="2"/>
    </row>
    <row r="3409" spans="2:5" x14ac:dyDescent="0.35">
      <c r="B3409" s="1"/>
      <c r="E3409" s="2"/>
    </row>
    <row r="3410" spans="2:5" x14ac:dyDescent="0.35">
      <c r="B3410" s="1"/>
    </row>
    <row r="3411" spans="2:5" x14ac:dyDescent="0.35">
      <c r="B3411" s="1"/>
      <c r="E3411" s="2"/>
    </row>
    <row r="3412" spans="2:5" x14ac:dyDescent="0.35">
      <c r="B3412" s="1"/>
      <c r="E3412" s="2"/>
    </row>
    <row r="3413" spans="2:5" x14ac:dyDescent="0.35">
      <c r="B3413" s="1"/>
    </row>
    <row r="3414" spans="2:5" x14ac:dyDescent="0.35">
      <c r="B3414" s="1"/>
    </row>
    <row r="3415" spans="2:5" x14ac:dyDescent="0.35">
      <c r="B3415" s="1"/>
      <c r="E3415" s="2"/>
    </row>
    <row r="3416" spans="2:5" x14ac:dyDescent="0.35">
      <c r="B3416" s="1"/>
    </row>
    <row r="3417" spans="2:5" x14ac:dyDescent="0.35">
      <c r="B3417" s="1"/>
      <c r="E3417" s="2"/>
    </row>
    <row r="3418" spans="2:5" x14ac:dyDescent="0.35">
      <c r="B3418" s="1"/>
      <c r="E3418" s="2"/>
    </row>
    <row r="3419" spans="2:5" x14ac:dyDescent="0.35">
      <c r="B3419" s="1"/>
      <c r="E3419" s="2"/>
    </row>
    <row r="3420" spans="2:5" x14ac:dyDescent="0.35">
      <c r="B3420" s="1"/>
      <c r="E3420" s="2"/>
    </row>
    <row r="3421" spans="2:5" x14ac:dyDescent="0.35">
      <c r="B3421" s="1"/>
      <c r="E3421" s="2"/>
    </row>
    <row r="3422" spans="2:5" x14ac:dyDescent="0.35">
      <c r="B3422" s="1"/>
      <c r="E3422" s="2"/>
    </row>
    <row r="3423" spans="2:5" x14ac:dyDescent="0.35">
      <c r="B3423" s="1"/>
      <c r="E3423" s="2"/>
    </row>
    <row r="3424" spans="2:5" x14ac:dyDescent="0.35">
      <c r="B3424" s="1"/>
      <c r="E3424" s="2"/>
    </row>
    <row r="3425" spans="2:5" x14ac:dyDescent="0.35">
      <c r="B3425" s="1"/>
      <c r="E3425" s="2"/>
    </row>
    <row r="3426" spans="2:5" x14ac:dyDescent="0.35">
      <c r="B3426" s="1"/>
    </row>
    <row r="3427" spans="2:5" x14ac:dyDescent="0.35">
      <c r="B3427" s="1"/>
      <c r="E3427" s="2"/>
    </row>
    <row r="3428" spans="2:5" x14ac:dyDescent="0.35">
      <c r="B3428" s="1"/>
      <c r="E3428" s="2"/>
    </row>
    <row r="3429" spans="2:5" x14ac:dyDescent="0.35">
      <c r="B3429" s="1"/>
    </row>
    <row r="3430" spans="2:5" x14ac:dyDescent="0.35">
      <c r="B3430" s="1"/>
    </row>
    <row r="3431" spans="2:5" x14ac:dyDescent="0.35">
      <c r="B3431" s="1"/>
      <c r="E3431" s="2"/>
    </row>
    <row r="3432" spans="2:5" x14ac:dyDescent="0.35">
      <c r="B3432" s="1"/>
    </row>
    <row r="3433" spans="2:5" x14ac:dyDescent="0.35">
      <c r="B3433" s="1"/>
      <c r="E3433" s="2"/>
    </row>
    <row r="3434" spans="2:5" x14ac:dyDescent="0.35">
      <c r="B3434" s="1"/>
      <c r="E3434" s="2"/>
    </row>
    <row r="3435" spans="2:5" x14ac:dyDescent="0.35">
      <c r="B3435" s="1"/>
      <c r="E3435" s="2"/>
    </row>
    <row r="3436" spans="2:5" x14ac:dyDescent="0.35">
      <c r="B3436" s="1"/>
      <c r="E3436" s="2"/>
    </row>
    <row r="3437" spans="2:5" x14ac:dyDescent="0.35">
      <c r="B3437" s="1"/>
      <c r="E3437" s="2"/>
    </row>
    <row r="3438" spans="2:5" x14ac:dyDescent="0.35">
      <c r="B3438" s="1"/>
      <c r="E3438" s="2"/>
    </row>
    <row r="3439" spans="2:5" x14ac:dyDescent="0.35">
      <c r="B3439" s="1"/>
      <c r="E3439" s="2"/>
    </row>
    <row r="3440" spans="2:5" x14ac:dyDescent="0.35">
      <c r="B3440" s="1"/>
    </row>
    <row r="3441" spans="2:5" x14ac:dyDescent="0.35">
      <c r="B3441" s="1"/>
      <c r="E3441" s="2"/>
    </row>
    <row r="3442" spans="2:5" x14ac:dyDescent="0.35">
      <c r="B3442" s="1"/>
    </row>
    <row r="3443" spans="2:5" x14ac:dyDescent="0.35">
      <c r="B3443" s="1"/>
      <c r="E3443" s="2"/>
    </row>
    <row r="3444" spans="2:5" x14ac:dyDescent="0.35">
      <c r="B3444" s="1"/>
      <c r="E3444" s="2"/>
    </row>
    <row r="3445" spans="2:5" x14ac:dyDescent="0.35">
      <c r="B3445" s="1"/>
      <c r="E3445" s="2"/>
    </row>
    <row r="3446" spans="2:5" x14ac:dyDescent="0.35">
      <c r="B3446" s="1"/>
      <c r="E3446" s="2"/>
    </row>
    <row r="3447" spans="2:5" x14ac:dyDescent="0.35">
      <c r="B3447" s="1"/>
      <c r="E3447" s="2"/>
    </row>
    <row r="3448" spans="2:5" x14ac:dyDescent="0.35">
      <c r="B3448" s="1"/>
    </row>
    <row r="3449" spans="2:5" x14ac:dyDescent="0.35">
      <c r="B3449" s="1"/>
    </row>
    <row r="3450" spans="2:5" x14ac:dyDescent="0.35">
      <c r="B3450" s="1"/>
      <c r="E3450" s="2"/>
    </row>
    <row r="3451" spans="2:5" x14ac:dyDescent="0.35">
      <c r="B3451" s="1"/>
    </row>
    <row r="3452" spans="2:5" x14ac:dyDescent="0.35">
      <c r="B3452" s="1"/>
      <c r="E3452" s="2"/>
    </row>
    <row r="3453" spans="2:5" x14ac:dyDescent="0.35">
      <c r="B3453" s="1"/>
      <c r="E3453" s="2"/>
    </row>
    <row r="3454" spans="2:5" x14ac:dyDescent="0.35">
      <c r="B3454" s="1"/>
    </row>
    <row r="3455" spans="2:5" x14ac:dyDescent="0.35">
      <c r="B3455" s="1"/>
    </row>
    <row r="3456" spans="2:5" x14ac:dyDescent="0.35">
      <c r="B3456" s="1"/>
      <c r="E3456" s="2"/>
    </row>
    <row r="3457" spans="2:5" x14ac:dyDescent="0.35">
      <c r="B3457" s="1"/>
    </row>
    <row r="3458" spans="2:5" x14ac:dyDescent="0.35">
      <c r="B3458" s="1"/>
    </row>
    <row r="3459" spans="2:5" x14ac:dyDescent="0.35">
      <c r="B3459" s="1"/>
      <c r="E3459" s="2"/>
    </row>
    <row r="3460" spans="2:5" x14ac:dyDescent="0.35">
      <c r="B3460" s="1"/>
      <c r="E3460" s="2"/>
    </row>
    <row r="3461" spans="2:5" x14ac:dyDescent="0.35">
      <c r="B3461" s="1"/>
    </row>
    <row r="3462" spans="2:5" x14ac:dyDescent="0.35">
      <c r="B3462" s="1"/>
      <c r="E3462" s="2"/>
    </row>
    <row r="3463" spans="2:5" x14ac:dyDescent="0.35">
      <c r="B3463" s="1"/>
      <c r="E3463" s="2"/>
    </row>
    <row r="3464" spans="2:5" x14ac:dyDescent="0.35">
      <c r="B3464" s="1"/>
    </row>
    <row r="3465" spans="2:5" x14ac:dyDescent="0.35">
      <c r="B3465" s="1"/>
      <c r="E3465" s="2"/>
    </row>
    <row r="3466" spans="2:5" x14ac:dyDescent="0.35">
      <c r="B3466" s="1"/>
    </row>
    <row r="3467" spans="2:5" x14ac:dyDescent="0.35">
      <c r="B3467" s="1"/>
    </row>
    <row r="3468" spans="2:5" x14ac:dyDescent="0.35">
      <c r="B3468" s="1"/>
    </row>
    <row r="3469" spans="2:5" x14ac:dyDescent="0.35">
      <c r="B3469" s="1"/>
      <c r="E3469" s="2"/>
    </row>
    <row r="3470" spans="2:5" x14ac:dyDescent="0.35">
      <c r="B3470" s="1"/>
      <c r="E3470" s="2"/>
    </row>
    <row r="3471" spans="2:5" x14ac:dyDescent="0.35">
      <c r="B3471" s="1"/>
    </row>
    <row r="3472" spans="2:5" x14ac:dyDescent="0.35">
      <c r="B3472" s="1"/>
    </row>
    <row r="3473" spans="2:5" x14ac:dyDescent="0.35">
      <c r="B3473" s="1"/>
    </row>
    <row r="3474" spans="2:5" x14ac:dyDescent="0.35">
      <c r="B3474" s="1"/>
    </row>
    <row r="3475" spans="2:5" x14ac:dyDescent="0.35">
      <c r="B3475" s="1"/>
      <c r="E3475" s="2"/>
    </row>
    <row r="3476" spans="2:5" x14ac:dyDescent="0.35">
      <c r="B3476" s="1"/>
    </row>
    <row r="3477" spans="2:5" x14ac:dyDescent="0.35">
      <c r="B3477" s="1"/>
    </row>
    <row r="3478" spans="2:5" x14ac:dyDescent="0.35">
      <c r="B3478" s="1"/>
      <c r="E3478" s="2"/>
    </row>
    <row r="3479" spans="2:5" x14ac:dyDescent="0.35">
      <c r="B3479" s="1"/>
      <c r="E3479" s="2"/>
    </row>
    <row r="3480" spans="2:5" x14ac:dyDescent="0.35">
      <c r="B3480" s="1"/>
    </row>
    <row r="3481" spans="2:5" x14ac:dyDescent="0.35">
      <c r="B3481" s="1"/>
    </row>
    <row r="3482" spans="2:5" x14ac:dyDescent="0.35">
      <c r="B3482" s="1"/>
    </row>
    <row r="3483" spans="2:5" x14ac:dyDescent="0.35">
      <c r="B3483" s="1"/>
      <c r="E3483" s="2"/>
    </row>
    <row r="3484" spans="2:5" x14ac:dyDescent="0.35">
      <c r="B3484" s="1"/>
    </row>
    <row r="3485" spans="2:5" x14ac:dyDescent="0.35">
      <c r="B3485" s="1"/>
    </row>
    <row r="3486" spans="2:5" x14ac:dyDescent="0.35">
      <c r="B3486" s="1"/>
      <c r="E3486" s="2"/>
    </row>
    <row r="3487" spans="2:5" x14ac:dyDescent="0.35">
      <c r="B3487" s="1"/>
      <c r="E3487" s="2"/>
    </row>
    <row r="3488" spans="2:5" x14ac:dyDescent="0.35">
      <c r="B3488" s="1"/>
    </row>
    <row r="3489" spans="2:5" x14ac:dyDescent="0.35">
      <c r="B3489" s="1"/>
    </row>
    <row r="3490" spans="2:5" x14ac:dyDescent="0.35">
      <c r="B3490" s="1"/>
      <c r="E3490" s="2"/>
    </row>
    <row r="3491" spans="2:5" x14ac:dyDescent="0.35">
      <c r="B3491" s="1"/>
      <c r="E3491" s="2"/>
    </row>
    <row r="3492" spans="2:5" x14ac:dyDescent="0.35">
      <c r="B3492" s="1"/>
      <c r="E3492" s="2"/>
    </row>
    <row r="3493" spans="2:5" x14ac:dyDescent="0.35">
      <c r="B3493" s="1"/>
    </row>
    <row r="3494" spans="2:5" x14ac:dyDescent="0.35">
      <c r="B3494" s="1"/>
      <c r="E3494" s="2"/>
    </row>
    <row r="3495" spans="2:5" x14ac:dyDescent="0.35">
      <c r="B3495" s="1"/>
    </row>
    <row r="3496" spans="2:5" x14ac:dyDescent="0.35">
      <c r="B3496" s="1"/>
    </row>
    <row r="3497" spans="2:5" x14ac:dyDescent="0.35">
      <c r="B3497" s="1"/>
    </row>
    <row r="3498" spans="2:5" x14ac:dyDescent="0.35">
      <c r="B3498" s="1"/>
      <c r="E3498" s="2"/>
    </row>
    <row r="3499" spans="2:5" x14ac:dyDescent="0.35">
      <c r="B3499" s="1"/>
      <c r="E3499" s="2"/>
    </row>
    <row r="3500" spans="2:5" x14ac:dyDescent="0.35">
      <c r="B3500" s="1"/>
    </row>
    <row r="3501" spans="2:5" x14ac:dyDescent="0.35">
      <c r="B3501" s="1"/>
    </row>
    <row r="3502" spans="2:5" x14ac:dyDescent="0.35">
      <c r="B3502" s="1"/>
      <c r="E3502" s="2"/>
    </row>
    <row r="3503" spans="2:5" x14ac:dyDescent="0.35">
      <c r="B3503" s="1"/>
    </row>
    <row r="3504" spans="2:5" x14ac:dyDescent="0.35">
      <c r="B3504" s="1"/>
      <c r="E3504" s="2"/>
    </row>
    <row r="3505" spans="2:5" x14ac:dyDescent="0.35">
      <c r="B3505" s="1"/>
      <c r="E3505" s="2"/>
    </row>
    <row r="3506" spans="2:5" x14ac:dyDescent="0.35">
      <c r="B3506" s="1"/>
      <c r="E3506" s="2"/>
    </row>
    <row r="3507" spans="2:5" x14ac:dyDescent="0.35">
      <c r="B3507" s="1"/>
    </row>
    <row r="3508" spans="2:5" x14ac:dyDescent="0.35">
      <c r="B3508" s="1"/>
    </row>
    <row r="3509" spans="2:5" x14ac:dyDescent="0.35">
      <c r="B3509" s="1"/>
      <c r="E3509" s="2"/>
    </row>
    <row r="3510" spans="2:5" x14ac:dyDescent="0.35">
      <c r="B3510" s="1"/>
    </row>
    <row r="3511" spans="2:5" x14ac:dyDescent="0.35">
      <c r="B3511" s="1"/>
      <c r="E3511" s="2"/>
    </row>
    <row r="3512" spans="2:5" x14ac:dyDescent="0.35">
      <c r="B3512" s="1"/>
    </row>
    <row r="3513" spans="2:5" x14ac:dyDescent="0.35">
      <c r="B3513" s="1"/>
    </row>
    <row r="3514" spans="2:5" x14ac:dyDescent="0.35">
      <c r="B3514" s="1"/>
    </row>
    <row r="3515" spans="2:5" x14ac:dyDescent="0.35">
      <c r="B3515" s="1"/>
    </row>
    <row r="3516" spans="2:5" x14ac:dyDescent="0.35">
      <c r="B3516" s="1"/>
      <c r="E3516" s="2"/>
    </row>
    <row r="3517" spans="2:5" x14ac:dyDescent="0.35">
      <c r="B3517" s="1"/>
      <c r="E3517" s="2"/>
    </row>
    <row r="3518" spans="2:5" x14ac:dyDescent="0.35">
      <c r="B3518" s="1"/>
    </row>
    <row r="3519" spans="2:5" x14ac:dyDescent="0.35">
      <c r="B3519" s="1"/>
    </row>
    <row r="3520" spans="2:5" x14ac:dyDescent="0.35">
      <c r="B3520" s="1"/>
      <c r="E3520" s="2"/>
    </row>
    <row r="3521" spans="2:5" x14ac:dyDescent="0.35">
      <c r="B3521" s="1"/>
    </row>
    <row r="3522" spans="2:5" x14ac:dyDescent="0.35">
      <c r="B3522" s="1"/>
      <c r="E3522" s="2"/>
    </row>
    <row r="3523" spans="2:5" x14ac:dyDescent="0.35">
      <c r="B3523" s="1"/>
    </row>
    <row r="3524" spans="2:5" x14ac:dyDescent="0.35">
      <c r="B3524" s="1"/>
      <c r="E3524" s="2"/>
    </row>
    <row r="3525" spans="2:5" x14ac:dyDescent="0.35">
      <c r="B3525" s="1"/>
    </row>
    <row r="3526" spans="2:5" x14ac:dyDescent="0.35">
      <c r="B3526" s="1"/>
    </row>
    <row r="3527" spans="2:5" x14ac:dyDescent="0.35">
      <c r="B3527" s="1"/>
      <c r="E3527" s="2"/>
    </row>
    <row r="3528" spans="2:5" x14ac:dyDescent="0.35">
      <c r="B3528" s="1"/>
    </row>
    <row r="3529" spans="2:5" x14ac:dyDescent="0.35">
      <c r="B3529" s="1"/>
      <c r="E3529" s="2"/>
    </row>
    <row r="3530" spans="2:5" x14ac:dyDescent="0.35">
      <c r="B3530" s="1"/>
    </row>
    <row r="3531" spans="2:5" x14ac:dyDescent="0.35">
      <c r="B3531" s="1"/>
      <c r="E3531" s="2"/>
    </row>
    <row r="3532" spans="2:5" x14ac:dyDescent="0.35">
      <c r="B3532" s="1"/>
    </row>
    <row r="3533" spans="2:5" x14ac:dyDescent="0.35">
      <c r="B3533" s="1"/>
    </row>
    <row r="3534" spans="2:5" x14ac:dyDescent="0.35">
      <c r="B3534" s="1"/>
      <c r="E3534" s="2"/>
    </row>
    <row r="3535" spans="2:5" x14ac:dyDescent="0.35">
      <c r="B3535" s="1"/>
      <c r="E3535" s="2"/>
    </row>
    <row r="3536" spans="2:5" x14ac:dyDescent="0.35">
      <c r="B3536" s="1"/>
    </row>
    <row r="3537" spans="2:5" x14ac:dyDescent="0.35">
      <c r="B3537" s="1"/>
      <c r="E3537" s="2"/>
    </row>
    <row r="3538" spans="2:5" x14ac:dyDescent="0.35">
      <c r="B3538" s="1"/>
      <c r="E3538" s="2"/>
    </row>
    <row r="3539" spans="2:5" x14ac:dyDescent="0.35">
      <c r="B3539" s="1"/>
      <c r="E3539" s="2"/>
    </row>
    <row r="3540" spans="2:5" x14ac:dyDescent="0.35">
      <c r="B3540" s="1"/>
      <c r="E3540" s="2"/>
    </row>
    <row r="3541" spans="2:5" x14ac:dyDescent="0.35">
      <c r="B3541" s="1"/>
    </row>
    <row r="3542" spans="2:5" x14ac:dyDescent="0.35">
      <c r="B3542" s="1"/>
      <c r="E3542" s="2"/>
    </row>
    <row r="3543" spans="2:5" x14ac:dyDescent="0.35">
      <c r="B3543" s="1"/>
      <c r="E3543" s="2"/>
    </row>
    <row r="3544" spans="2:5" x14ac:dyDescent="0.35">
      <c r="B3544" s="1"/>
    </row>
    <row r="3545" spans="2:5" x14ac:dyDescent="0.35">
      <c r="B3545" s="1"/>
    </row>
    <row r="3546" spans="2:5" x14ac:dyDescent="0.35">
      <c r="B3546" s="1"/>
      <c r="E3546" s="2"/>
    </row>
    <row r="3547" spans="2:5" x14ac:dyDescent="0.35">
      <c r="B3547" s="1"/>
      <c r="E3547" s="2"/>
    </row>
    <row r="3548" spans="2:5" x14ac:dyDescent="0.35">
      <c r="B3548" s="1"/>
    </row>
    <row r="3549" spans="2:5" x14ac:dyDescent="0.35">
      <c r="B3549" s="1"/>
      <c r="E3549" s="2"/>
    </row>
    <row r="3550" spans="2:5" x14ac:dyDescent="0.35">
      <c r="B3550" s="1"/>
    </row>
    <row r="3551" spans="2:5" x14ac:dyDescent="0.35">
      <c r="B3551" s="1"/>
      <c r="E3551" s="2"/>
    </row>
    <row r="3552" spans="2:5" x14ac:dyDescent="0.35">
      <c r="B3552" s="1"/>
    </row>
    <row r="3553" spans="2:5" x14ac:dyDescent="0.35">
      <c r="B3553" s="1"/>
    </row>
    <row r="3554" spans="2:5" x14ac:dyDescent="0.35">
      <c r="B3554" s="1"/>
      <c r="E3554" s="2"/>
    </row>
    <row r="3555" spans="2:5" x14ac:dyDescent="0.35">
      <c r="B3555" s="1"/>
      <c r="E3555" s="2"/>
    </row>
    <row r="3556" spans="2:5" x14ac:dyDescent="0.35">
      <c r="B3556" s="1"/>
      <c r="E3556" s="2"/>
    </row>
    <row r="3557" spans="2:5" x14ac:dyDescent="0.35">
      <c r="B3557" s="1"/>
      <c r="E3557" s="2"/>
    </row>
    <row r="3558" spans="2:5" x14ac:dyDescent="0.35">
      <c r="B3558" s="1"/>
    </row>
    <row r="3559" spans="2:5" x14ac:dyDescent="0.35">
      <c r="B3559" s="1"/>
    </row>
    <row r="3560" spans="2:5" x14ac:dyDescent="0.35">
      <c r="B3560" s="1"/>
      <c r="E3560" s="2"/>
    </row>
    <row r="3561" spans="2:5" x14ac:dyDescent="0.35">
      <c r="B3561" s="1"/>
      <c r="E3561" s="2"/>
    </row>
    <row r="3562" spans="2:5" x14ac:dyDescent="0.35">
      <c r="B3562" s="1"/>
      <c r="E3562" s="2"/>
    </row>
    <row r="3563" spans="2:5" x14ac:dyDescent="0.35">
      <c r="B3563" s="1"/>
      <c r="E3563" s="2"/>
    </row>
    <row r="3564" spans="2:5" x14ac:dyDescent="0.35">
      <c r="B3564" s="1"/>
      <c r="E3564" s="2"/>
    </row>
    <row r="3565" spans="2:5" x14ac:dyDescent="0.35">
      <c r="B3565" s="1"/>
      <c r="E3565" s="2"/>
    </row>
    <row r="3566" spans="2:5" x14ac:dyDescent="0.35">
      <c r="B3566" s="1"/>
      <c r="E3566" s="2"/>
    </row>
    <row r="3567" spans="2:5" x14ac:dyDescent="0.35">
      <c r="B3567" s="1"/>
    </row>
    <row r="3568" spans="2:5" x14ac:dyDescent="0.35">
      <c r="B3568" s="1"/>
      <c r="E3568" s="2"/>
    </row>
    <row r="3569" spans="2:5" x14ac:dyDescent="0.35">
      <c r="B3569" s="1"/>
      <c r="E3569" s="2"/>
    </row>
    <row r="3570" spans="2:5" x14ac:dyDescent="0.35">
      <c r="B3570" s="1"/>
      <c r="E3570" s="2"/>
    </row>
    <row r="3571" spans="2:5" x14ac:dyDescent="0.35">
      <c r="B3571" s="1"/>
      <c r="E3571" s="2"/>
    </row>
    <row r="3572" spans="2:5" x14ac:dyDescent="0.35">
      <c r="B3572" s="1"/>
      <c r="E3572" s="2"/>
    </row>
    <row r="3573" spans="2:5" x14ac:dyDescent="0.35">
      <c r="B3573" s="1"/>
      <c r="E3573" s="2"/>
    </row>
    <row r="3574" spans="2:5" x14ac:dyDescent="0.35">
      <c r="B3574" s="1"/>
      <c r="E3574" s="2"/>
    </row>
    <row r="3575" spans="2:5" x14ac:dyDescent="0.35">
      <c r="B3575" s="1"/>
      <c r="E3575" s="2"/>
    </row>
    <row r="3576" spans="2:5" x14ac:dyDescent="0.35">
      <c r="B3576" s="1"/>
    </row>
    <row r="3577" spans="2:5" x14ac:dyDescent="0.35">
      <c r="B3577" s="1"/>
    </row>
    <row r="3578" spans="2:5" x14ac:dyDescent="0.35">
      <c r="B3578" s="1"/>
      <c r="E3578" s="2"/>
    </row>
    <row r="3579" spans="2:5" x14ac:dyDescent="0.35">
      <c r="B3579" s="1"/>
    </row>
    <row r="3580" spans="2:5" x14ac:dyDescent="0.35">
      <c r="B3580" s="1"/>
      <c r="E3580" s="2"/>
    </row>
    <row r="3581" spans="2:5" x14ac:dyDescent="0.35">
      <c r="B3581" s="1"/>
      <c r="E3581" s="2"/>
    </row>
    <row r="3582" spans="2:5" x14ac:dyDescent="0.35">
      <c r="B3582" s="1"/>
    </row>
    <row r="3583" spans="2:5" x14ac:dyDescent="0.35">
      <c r="B3583" s="1"/>
      <c r="E3583" s="2"/>
    </row>
    <row r="3584" spans="2:5" x14ac:dyDescent="0.35">
      <c r="B3584" s="1"/>
      <c r="E3584" s="2"/>
    </row>
    <row r="3585" spans="2:5" x14ac:dyDescent="0.35">
      <c r="B3585" s="1"/>
      <c r="E3585" s="2"/>
    </row>
    <row r="3586" spans="2:5" x14ac:dyDescent="0.35">
      <c r="B3586" s="1"/>
    </row>
    <row r="3587" spans="2:5" x14ac:dyDescent="0.35">
      <c r="B3587" s="1"/>
      <c r="E3587" s="2"/>
    </row>
    <row r="3588" spans="2:5" x14ac:dyDescent="0.35">
      <c r="B3588" s="1"/>
      <c r="E3588" s="2"/>
    </row>
    <row r="3589" spans="2:5" x14ac:dyDescent="0.35">
      <c r="B3589" s="1"/>
      <c r="E3589" s="2"/>
    </row>
    <row r="3590" spans="2:5" x14ac:dyDescent="0.35">
      <c r="B3590" s="1"/>
      <c r="E3590" s="2"/>
    </row>
    <row r="3591" spans="2:5" x14ac:dyDescent="0.35">
      <c r="B3591" s="1"/>
      <c r="E3591" s="2"/>
    </row>
    <row r="3592" spans="2:5" x14ac:dyDescent="0.35">
      <c r="B3592" s="1"/>
      <c r="E3592" s="2"/>
    </row>
    <row r="3593" spans="2:5" x14ac:dyDescent="0.35">
      <c r="B3593" s="1"/>
    </row>
    <row r="3594" spans="2:5" x14ac:dyDescent="0.35">
      <c r="B3594" s="1"/>
      <c r="E3594" s="2"/>
    </row>
    <row r="3595" spans="2:5" x14ac:dyDescent="0.35">
      <c r="B3595" s="1"/>
    </row>
    <row r="3596" spans="2:5" x14ac:dyDescent="0.35">
      <c r="B3596" s="1"/>
      <c r="E3596" s="2"/>
    </row>
    <row r="3597" spans="2:5" x14ac:dyDescent="0.35">
      <c r="B3597" s="1"/>
    </row>
    <row r="3598" spans="2:5" x14ac:dyDescent="0.35">
      <c r="B3598" s="1"/>
      <c r="E3598" s="2"/>
    </row>
    <row r="3599" spans="2:5" x14ac:dyDescent="0.35">
      <c r="B3599" s="1"/>
      <c r="E3599" s="2"/>
    </row>
    <row r="3600" spans="2:5" x14ac:dyDescent="0.35">
      <c r="B3600" s="1"/>
      <c r="E3600" s="2"/>
    </row>
    <row r="3601" spans="2:5" x14ac:dyDescent="0.35">
      <c r="B3601" s="1"/>
      <c r="E3601" s="2"/>
    </row>
    <row r="3602" spans="2:5" x14ac:dyDescent="0.35">
      <c r="B3602" s="1"/>
      <c r="E3602" s="2"/>
    </row>
    <row r="3603" spans="2:5" x14ac:dyDescent="0.35">
      <c r="B3603" s="1"/>
      <c r="E3603" s="2"/>
    </row>
    <row r="3604" spans="2:5" x14ac:dyDescent="0.35">
      <c r="B3604" s="1"/>
      <c r="E3604" s="2"/>
    </row>
    <row r="3605" spans="2:5" x14ac:dyDescent="0.35">
      <c r="B3605" s="1"/>
      <c r="E3605" s="2"/>
    </row>
    <row r="3606" spans="2:5" x14ac:dyDescent="0.35">
      <c r="B3606" s="1"/>
    </row>
    <row r="3607" spans="2:5" x14ac:dyDescent="0.35">
      <c r="B3607" s="1"/>
    </row>
    <row r="3608" spans="2:5" x14ac:dyDescent="0.35">
      <c r="B3608" s="1"/>
      <c r="E3608" s="2"/>
    </row>
    <row r="3609" spans="2:5" x14ac:dyDescent="0.35">
      <c r="B3609" s="1"/>
    </row>
    <row r="3610" spans="2:5" x14ac:dyDescent="0.35">
      <c r="B3610" s="1"/>
      <c r="E3610" s="2"/>
    </row>
    <row r="3611" spans="2:5" x14ac:dyDescent="0.35">
      <c r="B3611" s="1"/>
    </row>
    <row r="3612" spans="2:5" x14ac:dyDescent="0.35">
      <c r="B3612" s="1"/>
      <c r="E3612" s="2"/>
    </row>
    <row r="3613" spans="2:5" x14ac:dyDescent="0.35">
      <c r="B3613" s="1"/>
      <c r="E3613" s="2"/>
    </row>
    <row r="3614" spans="2:5" x14ac:dyDescent="0.35">
      <c r="B3614" s="1"/>
      <c r="E3614" s="2"/>
    </row>
    <row r="3615" spans="2:5" x14ac:dyDescent="0.35">
      <c r="B3615" s="1"/>
      <c r="E3615" s="2"/>
    </row>
    <row r="3616" spans="2:5" x14ac:dyDescent="0.35">
      <c r="B3616" s="1"/>
    </row>
    <row r="3617" spans="2:5" x14ac:dyDescent="0.35">
      <c r="B3617" s="1"/>
      <c r="E3617" s="2"/>
    </row>
    <row r="3618" spans="2:5" x14ac:dyDescent="0.35">
      <c r="B3618" s="1"/>
    </row>
    <row r="3619" spans="2:5" x14ac:dyDescent="0.35">
      <c r="B3619" s="1"/>
    </row>
    <row r="3620" spans="2:5" x14ac:dyDescent="0.35">
      <c r="B3620" s="1"/>
      <c r="E3620" s="2"/>
    </row>
    <row r="3621" spans="2:5" x14ac:dyDescent="0.35">
      <c r="B3621" s="1"/>
      <c r="E3621" s="2"/>
    </row>
    <row r="3622" spans="2:5" x14ac:dyDescent="0.35">
      <c r="B3622" s="1"/>
    </row>
    <row r="3623" spans="2:5" x14ac:dyDescent="0.35">
      <c r="B3623" s="1"/>
      <c r="E3623" s="2"/>
    </row>
    <row r="3624" spans="2:5" x14ac:dyDescent="0.35">
      <c r="B3624" s="1"/>
      <c r="E3624" s="2"/>
    </row>
    <row r="3625" spans="2:5" x14ac:dyDescent="0.35">
      <c r="B3625" s="1"/>
      <c r="E3625" s="2"/>
    </row>
    <row r="3626" spans="2:5" x14ac:dyDescent="0.35">
      <c r="B3626" s="1"/>
    </row>
    <row r="3627" spans="2:5" x14ac:dyDescent="0.35">
      <c r="B3627" s="1"/>
      <c r="E3627" s="2"/>
    </row>
    <row r="3628" spans="2:5" x14ac:dyDescent="0.35">
      <c r="B3628" s="1"/>
      <c r="E3628" s="2"/>
    </row>
    <row r="3629" spans="2:5" x14ac:dyDescent="0.35">
      <c r="B3629" s="1"/>
    </row>
    <row r="3630" spans="2:5" x14ac:dyDescent="0.35">
      <c r="B3630" s="1"/>
      <c r="E3630" s="2"/>
    </row>
    <row r="3631" spans="2:5" x14ac:dyDescent="0.35">
      <c r="B3631" s="1"/>
      <c r="E3631" s="2"/>
    </row>
    <row r="3632" spans="2:5" x14ac:dyDescent="0.35">
      <c r="B3632" s="1"/>
      <c r="E3632" s="2"/>
    </row>
    <row r="3633" spans="2:5" x14ac:dyDescent="0.35">
      <c r="B3633" s="1"/>
      <c r="E3633" s="2"/>
    </row>
    <row r="3634" spans="2:5" x14ac:dyDescent="0.35">
      <c r="B3634" s="1"/>
    </row>
    <row r="3635" spans="2:5" x14ac:dyDescent="0.35">
      <c r="B3635" s="1"/>
      <c r="E3635" s="2"/>
    </row>
    <row r="3636" spans="2:5" x14ac:dyDescent="0.35">
      <c r="B3636" s="1"/>
      <c r="E3636" s="2"/>
    </row>
    <row r="3637" spans="2:5" x14ac:dyDescent="0.35">
      <c r="B3637" s="1"/>
      <c r="E3637" s="2"/>
    </row>
    <row r="3638" spans="2:5" x14ac:dyDescent="0.35">
      <c r="B3638" s="1"/>
    </row>
    <row r="3639" spans="2:5" x14ac:dyDescent="0.35">
      <c r="B3639" s="1"/>
      <c r="E3639" s="2"/>
    </row>
    <row r="3640" spans="2:5" x14ac:dyDescent="0.35">
      <c r="B3640" s="1"/>
    </row>
    <row r="3641" spans="2:5" x14ac:dyDescent="0.35">
      <c r="B3641" s="1"/>
      <c r="E3641" s="2"/>
    </row>
    <row r="3642" spans="2:5" x14ac:dyDescent="0.35">
      <c r="B3642" s="1"/>
      <c r="E3642" s="2"/>
    </row>
    <row r="3643" spans="2:5" x14ac:dyDescent="0.35">
      <c r="B3643" s="1"/>
      <c r="E3643" s="2"/>
    </row>
    <row r="3644" spans="2:5" x14ac:dyDescent="0.35">
      <c r="B3644" s="1"/>
      <c r="E3644" s="2"/>
    </row>
    <row r="3645" spans="2:5" x14ac:dyDescent="0.35">
      <c r="B3645" s="1"/>
      <c r="E3645" s="2"/>
    </row>
    <row r="3646" spans="2:5" x14ac:dyDescent="0.35">
      <c r="B3646" s="1"/>
      <c r="E3646" s="2"/>
    </row>
    <row r="3647" spans="2:5" x14ac:dyDescent="0.35">
      <c r="B3647" s="1"/>
    </row>
    <row r="3648" spans="2:5" x14ac:dyDescent="0.35">
      <c r="B3648" s="1"/>
      <c r="E3648" s="2"/>
    </row>
    <row r="3649" spans="2:5" x14ac:dyDescent="0.35">
      <c r="B3649" s="1"/>
      <c r="E3649" s="2"/>
    </row>
    <row r="3650" spans="2:5" x14ac:dyDescent="0.35">
      <c r="B3650" s="1"/>
      <c r="E3650" s="2"/>
    </row>
    <row r="3651" spans="2:5" x14ac:dyDescent="0.35">
      <c r="B3651" s="1"/>
      <c r="E3651" s="2"/>
    </row>
    <row r="3652" spans="2:5" x14ac:dyDescent="0.35">
      <c r="B3652" s="1"/>
    </row>
    <row r="3653" spans="2:5" x14ac:dyDescent="0.35">
      <c r="B3653" s="1"/>
      <c r="E3653" s="2"/>
    </row>
    <row r="3654" spans="2:5" x14ac:dyDescent="0.35">
      <c r="B3654" s="1"/>
    </row>
    <row r="3655" spans="2:5" x14ac:dyDescent="0.35">
      <c r="B3655" s="1"/>
      <c r="E3655" s="2"/>
    </row>
    <row r="3656" spans="2:5" x14ac:dyDescent="0.35">
      <c r="B3656" s="1"/>
    </row>
    <row r="3657" spans="2:5" x14ac:dyDescent="0.35">
      <c r="B3657" s="1"/>
      <c r="E3657" s="2"/>
    </row>
    <row r="3658" spans="2:5" x14ac:dyDescent="0.35">
      <c r="B3658" s="1"/>
    </row>
    <row r="3659" spans="2:5" x14ac:dyDescent="0.35">
      <c r="B3659" s="1"/>
    </row>
    <row r="3660" spans="2:5" x14ac:dyDescent="0.35">
      <c r="B3660" s="1"/>
    </row>
    <row r="3661" spans="2:5" x14ac:dyDescent="0.35">
      <c r="B3661" s="1"/>
      <c r="E3661" s="2"/>
    </row>
    <row r="3662" spans="2:5" x14ac:dyDescent="0.35">
      <c r="B3662" s="1"/>
      <c r="E3662" s="2"/>
    </row>
    <row r="3663" spans="2:5" x14ac:dyDescent="0.35">
      <c r="B3663" s="1"/>
    </row>
    <row r="3664" spans="2:5" x14ac:dyDescent="0.35">
      <c r="B3664" s="1"/>
      <c r="E3664" s="2"/>
    </row>
    <row r="3665" spans="2:5" x14ac:dyDescent="0.35">
      <c r="B3665" s="1"/>
      <c r="E3665" s="2"/>
    </row>
    <row r="3666" spans="2:5" x14ac:dyDescent="0.35">
      <c r="B3666" s="1"/>
    </row>
    <row r="3667" spans="2:5" x14ac:dyDescent="0.35">
      <c r="B3667" s="1"/>
      <c r="E3667" s="2"/>
    </row>
    <row r="3668" spans="2:5" x14ac:dyDescent="0.35">
      <c r="B3668" s="1"/>
    </row>
    <row r="3669" spans="2:5" x14ac:dyDescent="0.35">
      <c r="B3669" s="1"/>
      <c r="E3669" s="2"/>
    </row>
    <row r="3670" spans="2:5" x14ac:dyDescent="0.35">
      <c r="B3670" s="1"/>
    </row>
    <row r="3671" spans="2:5" x14ac:dyDescent="0.35">
      <c r="B3671" s="1"/>
    </row>
    <row r="3672" spans="2:5" x14ac:dyDescent="0.35">
      <c r="B3672" s="1"/>
    </row>
    <row r="3673" spans="2:5" x14ac:dyDescent="0.35">
      <c r="B3673" s="1"/>
    </row>
    <row r="3674" spans="2:5" x14ac:dyDescent="0.35">
      <c r="B3674" s="1"/>
      <c r="E3674" s="2"/>
    </row>
    <row r="3675" spans="2:5" x14ac:dyDescent="0.35">
      <c r="B3675" s="1"/>
    </row>
    <row r="3676" spans="2:5" x14ac:dyDescent="0.35">
      <c r="B3676" s="1"/>
      <c r="E3676" s="2"/>
    </row>
    <row r="3677" spans="2:5" x14ac:dyDescent="0.35">
      <c r="B3677" s="1"/>
      <c r="E3677" s="2"/>
    </row>
    <row r="3678" spans="2:5" x14ac:dyDescent="0.35">
      <c r="B3678" s="1"/>
    </row>
    <row r="3679" spans="2:5" x14ac:dyDescent="0.35">
      <c r="B3679" s="1"/>
      <c r="E3679" s="2"/>
    </row>
    <row r="3680" spans="2:5" x14ac:dyDescent="0.35">
      <c r="B3680" s="1"/>
      <c r="E3680" s="2"/>
    </row>
    <row r="3681" spans="2:5" x14ac:dyDescent="0.35">
      <c r="B3681" s="1"/>
    </row>
    <row r="3682" spans="2:5" x14ac:dyDescent="0.35">
      <c r="B3682" s="1"/>
      <c r="E3682" s="2"/>
    </row>
    <row r="3683" spans="2:5" x14ac:dyDescent="0.35">
      <c r="B3683" s="1"/>
      <c r="E3683" s="2"/>
    </row>
    <row r="3684" spans="2:5" x14ac:dyDescent="0.35">
      <c r="B3684" s="1"/>
      <c r="E3684" s="2"/>
    </row>
    <row r="3685" spans="2:5" x14ac:dyDescent="0.35">
      <c r="B3685" s="1"/>
      <c r="E3685" s="2"/>
    </row>
    <row r="3686" spans="2:5" x14ac:dyDescent="0.35">
      <c r="B3686" s="1"/>
      <c r="E3686" s="2"/>
    </row>
    <row r="3687" spans="2:5" x14ac:dyDescent="0.35">
      <c r="B3687" s="1"/>
      <c r="E3687" s="2"/>
    </row>
    <row r="3688" spans="2:5" x14ac:dyDescent="0.35">
      <c r="B3688" s="1"/>
      <c r="E3688" s="2"/>
    </row>
    <row r="3689" spans="2:5" x14ac:dyDescent="0.35">
      <c r="B3689" s="1"/>
    </row>
    <row r="3690" spans="2:5" x14ac:dyDescent="0.35">
      <c r="B3690" s="1"/>
    </row>
    <row r="3691" spans="2:5" x14ac:dyDescent="0.35">
      <c r="B3691" s="1"/>
    </row>
    <row r="3692" spans="2:5" x14ac:dyDescent="0.35">
      <c r="B3692" s="1"/>
    </row>
    <row r="3693" spans="2:5" x14ac:dyDescent="0.35">
      <c r="B3693" s="1"/>
    </row>
    <row r="3694" spans="2:5" x14ac:dyDescent="0.35">
      <c r="B3694" s="1"/>
      <c r="E3694" s="2"/>
    </row>
    <row r="3695" spans="2:5" x14ac:dyDescent="0.35">
      <c r="B3695" s="1"/>
    </row>
    <row r="3696" spans="2:5" x14ac:dyDescent="0.35">
      <c r="B3696" s="1"/>
    </row>
    <row r="3697" spans="2:5" x14ac:dyDescent="0.35">
      <c r="B3697" s="1"/>
      <c r="E3697" s="2"/>
    </row>
    <row r="3698" spans="2:5" x14ac:dyDescent="0.35">
      <c r="B3698" s="1"/>
      <c r="E3698" s="2"/>
    </row>
    <row r="3699" spans="2:5" x14ac:dyDescent="0.35">
      <c r="B3699" s="1"/>
    </row>
    <row r="3700" spans="2:5" x14ac:dyDescent="0.35">
      <c r="B3700" s="1"/>
      <c r="E3700" s="2"/>
    </row>
    <row r="3701" spans="2:5" x14ac:dyDescent="0.35">
      <c r="B3701" s="1"/>
      <c r="E3701" s="2"/>
    </row>
    <row r="3702" spans="2:5" x14ac:dyDescent="0.35">
      <c r="B3702" s="1"/>
    </row>
    <row r="3703" spans="2:5" x14ac:dyDescent="0.35">
      <c r="B3703" s="1"/>
    </row>
    <row r="3704" spans="2:5" x14ac:dyDescent="0.35">
      <c r="B3704" s="1"/>
      <c r="E3704" s="2"/>
    </row>
    <row r="3705" spans="2:5" x14ac:dyDescent="0.35">
      <c r="B3705" s="1"/>
      <c r="E3705" s="2"/>
    </row>
    <row r="3706" spans="2:5" x14ac:dyDescent="0.35">
      <c r="B3706" s="1"/>
      <c r="E3706" s="2"/>
    </row>
    <row r="3707" spans="2:5" x14ac:dyDescent="0.35">
      <c r="B3707" s="1"/>
      <c r="E3707" s="2"/>
    </row>
    <row r="3708" spans="2:5" x14ac:dyDescent="0.35">
      <c r="B3708" s="1"/>
      <c r="E3708" s="2"/>
    </row>
    <row r="3709" spans="2:5" x14ac:dyDescent="0.35">
      <c r="B3709" s="1"/>
      <c r="E3709" s="2"/>
    </row>
    <row r="3710" spans="2:5" x14ac:dyDescent="0.35">
      <c r="B3710" s="1"/>
      <c r="E3710" s="2"/>
    </row>
    <row r="3711" spans="2:5" x14ac:dyDescent="0.35">
      <c r="B3711" s="1"/>
    </row>
    <row r="3712" spans="2:5" x14ac:dyDescent="0.35">
      <c r="B3712" s="1"/>
      <c r="E3712" s="2"/>
    </row>
    <row r="3713" spans="2:5" x14ac:dyDescent="0.35">
      <c r="B3713" s="1"/>
      <c r="E3713" s="2"/>
    </row>
    <row r="3714" spans="2:5" x14ac:dyDescent="0.35">
      <c r="B3714" s="1"/>
    </row>
    <row r="3715" spans="2:5" x14ac:dyDescent="0.35">
      <c r="B3715" s="1"/>
    </row>
    <row r="3716" spans="2:5" x14ac:dyDescent="0.35">
      <c r="B3716" s="1"/>
    </row>
    <row r="3717" spans="2:5" x14ac:dyDescent="0.35">
      <c r="B3717" s="1"/>
    </row>
    <row r="3718" spans="2:5" x14ac:dyDescent="0.35">
      <c r="B3718" s="1"/>
      <c r="E3718" s="2"/>
    </row>
    <row r="3719" spans="2:5" x14ac:dyDescent="0.35">
      <c r="B3719" s="1"/>
    </row>
    <row r="3720" spans="2:5" x14ac:dyDescent="0.35">
      <c r="B3720" s="1"/>
      <c r="E3720" s="2"/>
    </row>
    <row r="3721" spans="2:5" x14ac:dyDescent="0.35">
      <c r="B3721" s="1"/>
    </row>
    <row r="3722" spans="2:5" x14ac:dyDescent="0.35">
      <c r="B3722" s="1"/>
    </row>
    <row r="3723" spans="2:5" x14ac:dyDescent="0.35">
      <c r="B3723" s="1"/>
      <c r="E3723" s="2"/>
    </row>
    <row r="3724" spans="2:5" x14ac:dyDescent="0.35">
      <c r="B3724" s="1"/>
      <c r="E3724" s="2"/>
    </row>
    <row r="3725" spans="2:5" x14ac:dyDescent="0.35">
      <c r="B3725" s="1"/>
    </row>
    <row r="3726" spans="2:5" x14ac:dyDescent="0.35">
      <c r="B3726" s="1"/>
    </row>
    <row r="3727" spans="2:5" x14ac:dyDescent="0.35">
      <c r="B3727" s="1"/>
      <c r="E3727" s="2"/>
    </row>
    <row r="3728" spans="2:5" x14ac:dyDescent="0.35">
      <c r="B3728" s="1"/>
    </row>
    <row r="3729" spans="2:5" x14ac:dyDescent="0.35">
      <c r="B3729" s="1"/>
    </row>
    <row r="3730" spans="2:5" x14ac:dyDescent="0.35">
      <c r="B3730" s="1"/>
      <c r="E3730" s="2"/>
    </row>
    <row r="3731" spans="2:5" x14ac:dyDescent="0.35">
      <c r="B3731" s="1"/>
    </row>
    <row r="3732" spans="2:5" x14ac:dyDescent="0.35">
      <c r="B3732" s="1"/>
      <c r="E3732" s="2"/>
    </row>
    <row r="3733" spans="2:5" x14ac:dyDescent="0.35">
      <c r="B3733" s="1"/>
      <c r="E3733" s="2"/>
    </row>
    <row r="3734" spans="2:5" x14ac:dyDescent="0.35">
      <c r="B3734" s="1"/>
      <c r="E3734" s="2"/>
    </row>
    <row r="3735" spans="2:5" x14ac:dyDescent="0.35">
      <c r="B3735" s="1"/>
      <c r="E3735" s="2"/>
    </row>
    <row r="3736" spans="2:5" x14ac:dyDescent="0.35">
      <c r="B3736" s="1"/>
      <c r="E3736" s="2"/>
    </row>
    <row r="3737" spans="2:5" x14ac:dyDescent="0.35">
      <c r="B3737" s="1"/>
      <c r="E3737" s="2"/>
    </row>
    <row r="3738" spans="2:5" x14ac:dyDescent="0.35">
      <c r="B3738" s="1"/>
      <c r="E3738" s="2"/>
    </row>
    <row r="3739" spans="2:5" x14ac:dyDescent="0.35">
      <c r="B3739" s="1"/>
      <c r="E3739" s="2"/>
    </row>
    <row r="3740" spans="2:5" x14ac:dyDescent="0.35">
      <c r="B3740" s="1"/>
    </row>
    <row r="3741" spans="2:5" x14ac:dyDescent="0.35">
      <c r="B3741" s="1"/>
    </row>
    <row r="3742" spans="2:5" x14ac:dyDescent="0.35">
      <c r="B3742" s="1"/>
      <c r="E3742" s="2"/>
    </row>
    <row r="3743" spans="2:5" x14ac:dyDescent="0.35">
      <c r="B3743" s="1"/>
    </row>
    <row r="3744" spans="2:5" x14ac:dyDescent="0.35">
      <c r="B3744" s="1"/>
      <c r="E3744" s="2"/>
    </row>
    <row r="3745" spans="2:5" x14ac:dyDescent="0.35">
      <c r="B3745" s="1"/>
    </row>
    <row r="3746" spans="2:5" x14ac:dyDescent="0.35">
      <c r="B3746" s="1"/>
    </row>
    <row r="3747" spans="2:5" x14ac:dyDescent="0.35">
      <c r="B3747" s="1"/>
      <c r="E3747" s="2"/>
    </row>
    <row r="3748" spans="2:5" x14ac:dyDescent="0.35">
      <c r="B3748" s="1"/>
      <c r="E3748" s="2"/>
    </row>
    <row r="3749" spans="2:5" x14ac:dyDescent="0.35">
      <c r="B3749" s="1"/>
      <c r="E3749" s="2"/>
    </row>
    <row r="3750" spans="2:5" x14ac:dyDescent="0.35">
      <c r="B3750" s="1"/>
      <c r="E3750" s="2"/>
    </row>
    <row r="3751" spans="2:5" x14ac:dyDescent="0.35">
      <c r="B3751" s="1"/>
    </row>
    <row r="3752" spans="2:5" x14ac:dyDescent="0.35">
      <c r="B3752" s="1"/>
    </row>
    <row r="3753" spans="2:5" x14ac:dyDescent="0.35">
      <c r="B3753" s="1"/>
      <c r="E3753" s="2"/>
    </row>
    <row r="3754" spans="2:5" x14ac:dyDescent="0.35">
      <c r="B3754" s="1"/>
    </row>
    <row r="3755" spans="2:5" x14ac:dyDescent="0.35">
      <c r="B3755" s="1"/>
      <c r="E3755" s="2"/>
    </row>
    <row r="3756" spans="2:5" x14ac:dyDescent="0.35">
      <c r="B3756" s="1"/>
    </row>
    <row r="3757" spans="2:5" x14ac:dyDescent="0.35">
      <c r="B3757" s="1"/>
    </row>
    <row r="3758" spans="2:5" x14ac:dyDescent="0.35">
      <c r="B3758" s="1"/>
      <c r="E3758" s="2"/>
    </row>
    <row r="3759" spans="2:5" x14ac:dyDescent="0.35">
      <c r="B3759" s="1"/>
    </row>
    <row r="3760" spans="2:5" x14ac:dyDescent="0.35">
      <c r="B3760" s="1"/>
      <c r="E3760" s="2"/>
    </row>
    <row r="3761" spans="2:5" x14ac:dyDescent="0.35">
      <c r="B3761" s="1"/>
      <c r="E3761" s="2"/>
    </row>
    <row r="3762" spans="2:5" x14ac:dyDescent="0.35">
      <c r="B3762" s="1"/>
    </row>
    <row r="3763" spans="2:5" x14ac:dyDescent="0.35">
      <c r="B3763" s="1"/>
    </row>
    <row r="3764" spans="2:5" x14ac:dyDescent="0.35">
      <c r="B3764" s="1"/>
      <c r="E3764" s="2"/>
    </row>
    <row r="3765" spans="2:5" x14ac:dyDescent="0.35">
      <c r="B3765" s="1"/>
      <c r="E3765" s="2"/>
    </row>
    <row r="3766" spans="2:5" x14ac:dyDescent="0.35">
      <c r="B3766" s="1"/>
      <c r="E3766" s="2"/>
    </row>
    <row r="3767" spans="2:5" x14ac:dyDescent="0.35">
      <c r="B3767" s="1"/>
    </row>
    <row r="3768" spans="2:5" x14ac:dyDescent="0.35">
      <c r="B3768" s="1"/>
      <c r="E3768" s="2"/>
    </row>
    <row r="3769" spans="2:5" x14ac:dyDescent="0.35">
      <c r="B3769" s="1"/>
      <c r="E3769" s="2"/>
    </row>
    <row r="3770" spans="2:5" x14ac:dyDescent="0.35">
      <c r="B3770" s="1"/>
      <c r="E3770" s="2"/>
    </row>
    <row r="3771" spans="2:5" x14ac:dyDescent="0.35">
      <c r="B3771" s="1"/>
      <c r="E3771" s="2"/>
    </row>
    <row r="3772" spans="2:5" x14ac:dyDescent="0.35">
      <c r="B3772" s="1"/>
    </row>
    <row r="3773" spans="2:5" x14ac:dyDescent="0.35">
      <c r="B3773" s="1"/>
    </row>
    <row r="3774" spans="2:5" x14ac:dyDescent="0.35">
      <c r="B3774" s="1"/>
      <c r="E3774" s="2"/>
    </row>
    <row r="3775" spans="2:5" x14ac:dyDescent="0.35">
      <c r="B3775" s="1"/>
      <c r="E3775" s="2"/>
    </row>
    <row r="3776" spans="2:5" x14ac:dyDescent="0.35">
      <c r="B3776" s="1"/>
    </row>
    <row r="3777" spans="2:5" x14ac:dyDescent="0.35">
      <c r="B3777" s="1"/>
    </row>
    <row r="3778" spans="2:5" x14ac:dyDescent="0.35">
      <c r="B3778" s="1"/>
    </row>
    <row r="3779" spans="2:5" x14ac:dyDescent="0.35">
      <c r="B3779" s="1"/>
      <c r="E3779" s="2"/>
    </row>
    <row r="3780" spans="2:5" x14ac:dyDescent="0.35">
      <c r="B3780" s="1"/>
    </row>
    <row r="3781" spans="2:5" x14ac:dyDescent="0.35">
      <c r="B3781" s="1"/>
      <c r="E3781" s="2"/>
    </row>
    <row r="3782" spans="2:5" x14ac:dyDescent="0.35">
      <c r="B3782" s="1"/>
    </row>
    <row r="3783" spans="2:5" x14ac:dyDescent="0.35">
      <c r="B3783" s="1"/>
    </row>
    <row r="3784" spans="2:5" x14ac:dyDescent="0.35">
      <c r="B3784" s="1"/>
    </row>
    <row r="3785" spans="2:5" x14ac:dyDescent="0.35">
      <c r="B3785" s="1"/>
    </row>
    <row r="3786" spans="2:5" x14ac:dyDescent="0.35">
      <c r="B3786" s="1"/>
      <c r="E3786" s="2"/>
    </row>
    <row r="3787" spans="2:5" x14ac:dyDescent="0.35">
      <c r="B3787" s="1"/>
      <c r="E3787" s="2"/>
    </row>
    <row r="3788" spans="2:5" x14ac:dyDescent="0.35">
      <c r="B3788" s="1"/>
    </row>
    <row r="3789" spans="2:5" x14ac:dyDescent="0.35">
      <c r="B3789" s="1"/>
    </row>
    <row r="3790" spans="2:5" x14ac:dyDescent="0.35">
      <c r="B3790" s="1"/>
      <c r="E3790" s="2"/>
    </row>
    <row r="3791" spans="2:5" x14ac:dyDescent="0.35">
      <c r="B3791" s="1"/>
    </row>
    <row r="3792" spans="2:5" x14ac:dyDescent="0.35">
      <c r="B3792" s="1"/>
      <c r="E3792" s="2"/>
    </row>
    <row r="3793" spans="2:5" x14ac:dyDescent="0.35">
      <c r="B3793" s="1"/>
      <c r="E3793" s="2"/>
    </row>
    <row r="3794" spans="2:5" x14ac:dyDescent="0.35">
      <c r="B3794" s="1"/>
    </row>
    <row r="3795" spans="2:5" x14ac:dyDescent="0.35">
      <c r="B3795" s="1"/>
    </row>
    <row r="3796" spans="2:5" x14ac:dyDescent="0.35">
      <c r="B3796" s="1"/>
    </row>
    <row r="3797" spans="2:5" x14ac:dyDescent="0.35">
      <c r="B3797" s="1"/>
      <c r="E3797" s="2"/>
    </row>
    <row r="3798" spans="2:5" x14ac:dyDescent="0.35">
      <c r="B3798" s="1"/>
    </row>
    <row r="3799" spans="2:5" x14ac:dyDescent="0.35">
      <c r="B3799" s="1"/>
      <c r="E3799" s="2"/>
    </row>
    <row r="3800" spans="2:5" x14ac:dyDescent="0.35">
      <c r="B3800" s="1"/>
      <c r="E3800" s="2"/>
    </row>
    <row r="3801" spans="2:5" x14ac:dyDescent="0.35">
      <c r="B3801" s="1"/>
      <c r="E3801" s="2"/>
    </row>
    <row r="3802" spans="2:5" x14ac:dyDescent="0.35">
      <c r="B3802" s="1"/>
    </row>
    <row r="3803" spans="2:5" x14ac:dyDescent="0.35">
      <c r="B3803" s="1"/>
    </row>
    <row r="3804" spans="2:5" x14ac:dyDescent="0.35">
      <c r="B3804" s="1"/>
      <c r="E3804" s="2"/>
    </row>
    <row r="3805" spans="2:5" x14ac:dyDescent="0.35">
      <c r="B3805" s="1"/>
    </row>
    <row r="3806" spans="2:5" x14ac:dyDescent="0.35">
      <c r="B3806" s="1"/>
      <c r="E3806" s="2"/>
    </row>
    <row r="3807" spans="2:5" x14ac:dyDescent="0.35">
      <c r="B3807" s="1"/>
    </row>
    <row r="3808" spans="2:5" x14ac:dyDescent="0.35">
      <c r="B3808" s="1"/>
      <c r="E3808" s="2"/>
    </row>
    <row r="3809" spans="2:5" x14ac:dyDescent="0.35">
      <c r="B3809" s="1"/>
    </row>
    <row r="3810" spans="2:5" x14ac:dyDescent="0.35">
      <c r="B3810" s="1"/>
      <c r="E3810" s="2"/>
    </row>
    <row r="3811" spans="2:5" x14ac:dyDescent="0.35">
      <c r="B3811" s="1"/>
    </row>
    <row r="3812" spans="2:5" x14ac:dyDescent="0.35">
      <c r="B3812" s="1"/>
    </row>
    <row r="3813" spans="2:5" x14ac:dyDescent="0.35">
      <c r="B3813" s="1"/>
      <c r="E3813" s="2"/>
    </row>
    <row r="3814" spans="2:5" x14ac:dyDescent="0.35">
      <c r="B3814" s="1"/>
    </row>
    <row r="3815" spans="2:5" x14ac:dyDescent="0.35">
      <c r="B3815" s="1"/>
    </row>
    <row r="3816" spans="2:5" x14ac:dyDescent="0.35">
      <c r="B3816" s="1"/>
    </row>
    <row r="3817" spans="2:5" x14ac:dyDescent="0.35">
      <c r="B3817" s="1"/>
    </row>
    <row r="3818" spans="2:5" x14ac:dyDescent="0.35">
      <c r="B3818" s="1"/>
    </row>
    <row r="3819" spans="2:5" x14ac:dyDescent="0.35">
      <c r="B3819" s="1"/>
      <c r="E3819" s="2"/>
    </row>
    <row r="3820" spans="2:5" x14ac:dyDescent="0.35">
      <c r="B3820" s="1"/>
    </row>
    <row r="3821" spans="2:5" x14ac:dyDescent="0.35">
      <c r="B3821" s="1"/>
    </row>
    <row r="3822" spans="2:5" x14ac:dyDescent="0.35">
      <c r="B3822" s="1"/>
      <c r="E3822" s="2"/>
    </row>
    <row r="3823" spans="2:5" x14ac:dyDescent="0.35">
      <c r="B3823" s="1"/>
    </row>
    <row r="3824" spans="2:5" x14ac:dyDescent="0.35">
      <c r="B3824" s="1"/>
    </row>
    <row r="3825" spans="2:5" x14ac:dyDescent="0.35">
      <c r="B3825" s="1"/>
      <c r="E3825" s="2"/>
    </row>
    <row r="3826" spans="2:5" x14ac:dyDescent="0.35">
      <c r="B3826" s="1"/>
    </row>
    <row r="3827" spans="2:5" x14ac:dyDescent="0.35">
      <c r="B3827" s="1"/>
    </row>
    <row r="3828" spans="2:5" x14ac:dyDescent="0.35">
      <c r="B3828" s="1"/>
      <c r="E3828" s="2"/>
    </row>
    <row r="3829" spans="2:5" x14ac:dyDescent="0.35">
      <c r="B3829" s="1"/>
    </row>
    <row r="3830" spans="2:5" x14ac:dyDescent="0.35">
      <c r="B3830" s="1"/>
      <c r="E3830" s="2"/>
    </row>
    <row r="3831" spans="2:5" x14ac:dyDescent="0.35">
      <c r="B3831" s="1"/>
      <c r="E3831" s="2"/>
    </row>
    <row r="3832" spans="2:5" x14ac:dyDescent="0.35">
      <c r="B3832" s="1"/>
      <c r="E3832" s="2"/>
    </row>
    <row r="3833" spans="2:5" x14ac:dyDescent="0.35">
      <c r="B3833" s="1"/>
      <c r="E3833" s="2"/>
    </row>
    <row r="3834" spans="2:5" x14ac:dyDescent="0.35">
      <c r="B3834" s="1"/>
    </row>
    <row r="3835" spans="2:5" x14ac:dyDescent="0.35">
      <c r="B3835" s="1"/>
    </row>
    <row r="3836" spans="2:5" x14ac:dyDescent="0.35">
      <c r="B3836" s="1"/>
    </row>
    <row r="3837" spans="2:5" x14ac:dyDescent="0.35">
      <c r="B3837" s="1"/>
      <c r="E3837" s="2"/>
    </row>
    <row r="3838" spans="2:5" x14ac:dyDescent="0.35">
      <c r="B3838" s="1"/>
    </row>
    <row r="3839" spans="2:5" x14ac:dyDescent="0.35">
      <c r="B3839" s="1"/>
      <c r="E3839" s="2"/>
    </row>
    <row r="3840" spans="2:5" x14ac:dyDescent="0.35">
      <c r="B3840" s="1"/>
    </row>
    <row r="3841" spans="2:5" x14ac:dyDescent="0.35">
      <c r="B3841" s="1"/>
    </row>
    <row r="3842" spans="2:5" x14ac:dyDescent="0.35">
      <c r="B3842" s="1"/>
      <c r="E3842" s="2"/>
    </row>
    <row r="3843" spans="2:5" x14ac:dyDescent="0.35">
      <c r="B3843" s="1"/>
      <c r="E3843" s="2"/>
    </row>
    <row r="3844" spans="2:5" x14ac:dyDescent="0.35">
      <c r="B3844" s="1"/>
    </row>
    <row r="3845" spans="2:5" x14ac:dyDescent="0.35">
      <c r="B3845" s="1"/>
      <c r="E3845" s="2"/>
    </row>
    <row r="3846" spans="2:5" x14ac:dyDescent="0.35">
      <c r="B3846" s="1"/>
      <c r="E3846" s="2"/>
    </row>
    <row r="3847" spans="2:5" x14ac:dyDescent="0.35">
      <c r="B3847" s="1"/>
    </row>
    <row r="3848" spans="2:5" x14ac:dyDescent="0.35">
      <c r="B3848" s="1"/>
      <c r="E3848" s="2"/>
    </row>
    <row r="3849" spans="2:5" x14ac:dyDescent="0.35">
      <c r="B3849" s="1"/>
      <c r="E3849" s="2"/>
    </row>
    <row r="3850" spans="2:5" x14ac:dyDescent="0.35">
      <c r="B3850" s="1"/>
    </row>
    <row r="3851" spans="2:5" x14ac:dyDescent="0.35">
      <c r="B3851" s="1"/>
      <c r="E3851" s="2"/>
    </row>
    <row r="3852" spans="2:5" x14ac:dyDescent="0.35">
      <c r="B3852" s="1"/>
      <c r="E3852" s="2"/>
    </row>
    <row r="3853" spans="2:5" x14ac:dyDescent="0.35">
      <c r="B3853" s="1"/>
      <c r="E3853" s="2"/>
    </row>
    <row r="3854" spans="2:5" x14ac:dyDescent="0.35">
      <c r="B3854" s="1"/>
      <c r="E3854" s="2"/>
    </row>
    <row r="3855" spans="2:5" x14ac:dyDescent="0.35">
      <c r="B3855" s="1"/>
    </row>
    <row r="3856" spans="2:5" x14ac:dyDescent="0.35">
      <c r="B3856" s="1"/>
    </row>
    <row r="3857" spans="2:5" x14ac:dyDescent="0.35">
      <c r="B3857" s="1"/>
    </row>
    <row r="3858" spans="2:5" x14ac:dyDescent="0.35">
      <c r="B3858" s="1"/>
      <c r="E3858" s="2"/>
    </row>
    <row r="3859" spans="2:5" x14ac:dyDescent="0.35">
      <c r="B3859" s="1"/>
      <c r="E3859" s="2"/>
    </row>
    <row r="3860" spans="2:5" x14ac:dyDescent="0.35">
      <c r="B3860" s="1"/>
      <c r="E3860" s="2"/>
    </row>
    <row r="3861" spans="2:5" x14ac:dyDescent="0.35">
      <c r="B3861" s="1"/>
      <c r="E3861" s="2"/>
    </row>
    <row r="3862" spans="2:5" x14ac:dyDescent="0.35">
      <c r="B3862" s="1"/>
      <c r="E3862" s="2"/>
    </row>
    <row r="3863" spans="2:5" x14ac:dyDescent="0.35">
      <c r="B3863" s="1"/>
      <c r="E3863" s="2"/>
    </row>
    <row r="3864" spans="2:5" x14ac:dyDescent="0.35">
      <c r="B3864" s="1"/>
      <c r="E3864" s="2"/>
    </row>
    <row r="3865" spans="2:5" x14ac:dyDescent="0.35">
      <c r="B3865" s="1"/>
      <c r="E3865" s="2"/>
    </row>
    <row r="3866" spans="2:5" x14ac:dyDescent="0.35">
      <c r="B3866" s="1"/>
    </row>
    <row r="3867" spans="2:5" x14ac:dyDescent="0.35">
      <c r="B3867" s="1"/>
      <c r="E3867" s="2"/>
    </row>
    <row r="3868" spans="2:5" x14ac:dyDescent="0.35">
      <c r="B3868" s="1"/>
    </row>
    <row r="3869" spans="2:5" x14ac:dyDescent="0.35">
      <c r="B3869" s="1"/>
    </row>
    <row r="3870" spans="2:5" x14ac:dyDescent="0.35">
      <c r="B3870" s="1"/>
    </row>
    <row r="3871" spans="2:5" x14ac:dyDescent="0.35">
      <c r="B3871" s="1"/>
    </row>
    <row r="3872" spans="2:5" x14ac:dyDescent="0.35">
      <c r="B3872" s="1"/>
      <c r="E3872" s="2"/>
    </row>
    <row r="3873" spans="2:5" x14ac:dyDescent="0.35">
      <c r="B3873" s="1"/>
      <c r="E3873" s="2"/>
    </row>
    <row r="3874" spans="2:5" x14ac:dyDescent="0.35">
      <c r="B3874" s="1"/>
    </row>
    <row r="3875" spans="2:5" x14ac:dyDescent="0.35">
      <c r="B3875" s="1"/>
      <c r="E3875" s="2"/>
    </row>
    <row r="3876" spans="2:5" x14ac:dyDescent="0.35">
      <c r="B3876" s="1"/>
      <c r="E3876" s="2"/>
    </row>
    <row r="3877" spans="2:5" x14ac:dyDescent="0.35">
      <c r="B3877" s="1"/>
      <c r="E3877" s="2"/>
    </row>
    <row r="3878" spans="2:5" x14ac:dyDescent="0.35">
      <c r="B3878" s="1"/>
      <c r="E3878" s="2"/>
    </row>
    <row r="3879" spans="2:5" x14ac:dyDescent="0.35">
      <c r="B3879" s="1"/>
    </row>
    <row r="3880" spans="2:5" x14ac:dyDescent="0.35">
      <c r="B3880" s="1"/>
      <c r="E3880" s="2"/>
    </row>
    <row r="3881" spans="2:5" x14ac:dyDescent="0.35">
      <c r="B3881" s="1"/>
      <c r="E3881" s="2"/>
    </row>
    <row r="3882" spans="2:5" x14ac:dyDescent="0.35">
      <c r="B3882" s="1"/>
      <c r="E3882" s="2"/>
    </row>
    <row r="3883" spans="2:5" x14ac:dyDescent="0.35">
      <c r="B3883" s="1"/>
      <c r="E3883" s="2"/>
    </row>
    <row r="3884" spans="2:5" x14ac:dyDescent="0.35">
      <c r="B3884" s="1"/>
      <c r="E3884" s="2"/>
    </row>
    <row r="3885" spans="2:5" x14ac:dyDescent="0.35">
      <c r="B3885" s="1"/>
    </row>
    <row r="3886" spans="2:5" x14ac:dyDescent="0.35">
      <c r="B3886" s="1"/>
      <c r="E3886" s="2"/>
    </row>
    <row r="3887" spans="2:5" x14ac:dyDescent="0.35">
      <c r="B3887" s="1"/>
      <c r="E3887" s="2"/>
    </row>
    <row r="3888" spans="2:5" x14ac:dyDescent="0.35">
      <c r="B3888" s="1"/>
    </row>
    <row r="3889" spans="2:5" x14ac:dyDescent="0.35">
      <c r="B3889" s="1"/>
      <c r="E3889" s="2"/>
    </row>
    <row r="3890" spans="2:5" x14ac:dyDescent="0.35">
      <c r="B3890" s="1"/>
    </row>
    <row r="3891" spans="2:5" x14ac:dyDescent="0.35">
      <c r="B3891" s="1"/>
    </row>
    <row r="3892" spans="2:5" x14ac:dyDescent="0.35">
      <c r="B3892" s="1"/>
      <c r="E3892" s="2"/>
    </row>
    <row r="3893" spans="2:5" x14ac:dyDescent="0.35">
      <c r="B3893" s="1"/>
    </row>
    <row r="3894" spans="2:5" x14ac:dyDescent="0.35">
      <c r="B3894" s="1"/>
    </row>
    <row r="3895" spans="2:5" x14ac:dyDescent="0.35">
      <c r="B3895" s="1"/>
    </row>
    <row r="3896" spans="2:5" x14ac:dyDescent="0.35">
      <c r="B3896" s="1"/>
    </row>
    <row r="3897" spans="2:5" x14ac:dyDescent="0.35">
      <c r="B3897" s="1"/>
    </row>
    <row r="3898" spans="2:5" x14ac:dyDescent="0.35">
      <c r="B3898" s="1"/>
      <c r="E3898" s="2"/>
    </row>
    <row r="3899" spans="2:5" x14ac:dyDescent="0.35">
      <c r="B3899" s="1"/>
      <c r="E3899" s="2"/>
    </row>
    <row r="3900" spans="2:5" x14ac:dyDescent="0.35">
      <c r="B3900" s="1"/>
      <c r="E3900" s="2"/>
    </row>
    <row r="3901" spans="2:5" x14ac:dyDescent="0.35">
      <c r="B3901" s="1"/>
      <c r="E3901" s="2"/>
    </row>
    <row r="3902" spans="2:5" x14ac:dyDescent="0.35">
      <c r="B3902" s="1"/>
      <c r="E3902" s="2"/>
    </row>
    <row r="3903" spans="2:5" x14ac:dyDescent="0.35">
      <c r="B3903" s="1"/>
      <c r="E3903" s="2"/>
    </row>
    <row r="3904" spans="2:5" x14ac:dyDescent="0.35">
      <c r="B3904" s="1"/>
    </row>
    <row r="3905" spans="2:5" x14ac:dyDescent="0.35">
      <c r="B3905" s="1"/>
      <c r="E3905" s="2"/>
    </row>
    <row r="3906" spans="2:5" x14ac:dyDescent="0.35">
      <c r="B3906" s="1"/>
      <c r="E3906" s="2"/>
    </row>
    <row r="3907" spans="2:5" x14ac:dyDescent="0.35">
      <c r="B3907" s="1"/>
    </row>
    <row r="3908" spans="2:5" x14ac:dyDescent="0.35">
      <c r="B3908" s="1"/>
      <c r="E3908" s="2"/>
    </row>
    <row r="3909" spans="2:5" x14ac:dyDescent="0.35">
      <c r="B3909" s="1"/>
      <c r="E3909" s="2"/>
    </row>
    <row r="3910" spans="2:5" x14ac:dyDescent="0.35">
      <c r="B3910" s="1"/>
    </row>
    <row r="3911" spans="2:5" x14ac:dyDescent="0.35">
      <c r="B3911" s="1"/>
      <c r="E3911" s="2"/>
    </row>
    <row r="3912" spans="2:5" x14ac:dyDescent="0.35">
      <c r="B3912" s="1"/>
      <c r="E3912" s="2"/>
    </row>
    <row r="3913" spans="2:5" x14ac:dyDescent="0.35">
      <c r="B3913" s="1"/>
      <c r="E3913" s="2"/>
    </row>
    <row r="3914" spans="2:5" x14ac:dyDescent="0.35">
      <c r="B3914" s="1"/>
      <c r="E3914" s="2"/>
    </row>
    <row r="3915" spans="2:5" x14ac:dyDescent="0.35">
      <c r="B3915" s="1"/>
    </row>
    <row r="3916" spans="2:5" x14ac:dyDescent="0.35">
      <c r="B3916" s="1"/>
      <c r="E3916" s="2"/>
    </row>
    <row r="3917" spans="2:5" x14ac:dyDescent="0.35">
      <c r="B3917" s="1"/>
      <c r="E3917" s="2"/>
    </row>
    <row r="3918" spans="2:5" x14ac:dyDescent="0.35">
      <c r="B3918" s="1"/>
    </row>
    <row r="3919" spans="2:5" x14ac:dyDescent="0.35">
      <c r="B3919" s="1"/>
    </row>
    <row r="3920" spans="2:5" x14ac:dyDescent="0.35">
      <c r="B3920" s="1"/>
    </row>
    <row r="3921" spans="2:5" x14ac:dyDescent="0.35">
      <c r="B3921" s="1"/>
      <c r="E3921" s="2"/>
    </row>
    <row r="3922" spans="2:5" x14ac:dyDescent="0.35">
      <c r="B3922" s="1"/>
      <c r="E3922" s="2"/>
    </row>
    <row r="3923" spans="2:5" x14ac:dyDescent="0.35">
      <c r="B3923" s="1"/>
    </row>
    <row r="3924" spans="2:5" x14ac:dyDescent="0.35">
      <c r="B3924" s="1"/>
      <c r="E3924" s="2"/>
    </row>
    <row r="3925" spans="2:5" x14ac:dyDescent="0.35">
      <c r="B3925" s="1"/>
      <c r="E3925" s="2"/>
    </row>
    <row r="3926" spans="2:5" x14ac:dyDescent="0.35">
      <c r="B3926" s="1"/>
      <c r="E3926" s="2"/>
    </row>
    <row r="3927" spans="2:5" x14ac:dyDescent="0.35">
      <c r="B3927" s="1"/>
      <c r="E3927" s="2"/>
    </row>
    <row r="3928" spans="2:5" x14ac:dyDescent="0.35">
      <c r="B3928" s="1"/>
    </row>
    <row r="3929" spans="2:5" x14ac:dyDescent="0.35">
      <c r="B3929" s="1"/>
      <c r="E3929" s="2"/>
    </row>
    <row r="3930" spans="2:5" x14ac:dyDescent="0.35">
      <c r="B3930" s="1"/>
      <c r="E3930" s="2"/>
    </row>
    <row r="3931" spans="2:5" x14ac:dyDescent="0.35">
      <c r="B3931" s="1"/>
      <c r="E3931" s="2"/>
    </row>
    <row r="3932" spans="2:5" x14ac:dyDescent="0.35">
      <c r="B3932" s="1"/>
    </row>
    <row r="3933" spans="2:5" x14ac:dyDescent="0.35">
      <c r="B3933" s="1"/>
      <c r="E3933" s="2"/>
    </row>
    <row r="3934" spans="2:5" x14ac:dyDescent="0.35">
      <c r="B3934" s="1"/>
    </row>
    <row r="3935" spans="2:5" x14ac:dyDescent="0.35">
      <c r="B3935" s="1"/>
    </row>
    <row r="3936" spans="2:5" x14ac:dyDescent="0.35">
      <c r="B3936" s="1"/>
      <c r="E3936" s="2"/>
    </row>
    <row r="3937" spans="2:5" x14ac:dyDescent="0.35">
      <c r="B3937" s="1"/>
      <c r="E3937" s="2"/>
    </row>
    <row r="3938" spans="2:5" x14ac:dyDescent="0.35">
      <c r="B3938" s="1"/>
      <c r="E3938" s="2"/>
    </row>
    <row r="3939" spans="2:5" x14ac:dyDescent="0.35">
      <c r="B3939" s="1"/>
    </row>
    <row r="3940" spans="2:5" x14ac:dyDescent="0.35">
      <c r="B3940" s="1"/>
    </row>
    <row r="3941" spans="2:5" x14ac:dyDescent="0.35">
      <c r="B3941" s="1"/>
    </row>
    <row r="3942" spans="2:5" x14ac:dyDescent="0.35">
      <c r="B3942" s="1"/>
      <c r="E3942" s="2"/>
    </row>
    <row r="3943" spans="2:5" x14ac:dyDescent="0.35">
      <c r="B3943" s="1"/>
      <c r="E3943" s="2"/>
    </row>
    <row r="3944" spans="2:5" x14ac:dyDescent="0.35">
      <c r="B3944" s="1"/>
      <c r="E3944" s="2"/>
    </row>
    <row r="3945" spans="2:5" x14ac:dyDescent="0.35">
      <c r="B3945" s="1"/>
    </row>
    <row r="3946" spans="2:5" x14ac:dyDescent="0.35">
      <c r="B3946" s="1"/>
    </row>
    <row r="3947" spans="2:5" x14ac:dyDescent="0.35">
      <c r="B3947" s="1"/>
      <c r="E3947" s="2"/>
    </row>
    <row r="3948" spans="2:5" x14ac:dyDescent="0.35">
      <c r="B3948" s="1"/>
      <c r="E3948" s="2"/>
    </row>
    <row r="3949" spans="2:5" x14ac:dyDescent="0.35">
      <c r="B3949" s="1"/>
    </row>
    <row r="3950" spans="2:5" x14ac:dyDescent="0.35">
      <c r="B3950" s="1"/>
    </row>
    <row r="3951" spans="2:5" x14ac:dyDescent="0.35">
      <c r="B3951" s="1"/>
    </row>
    <row r="3952" spans="2:5" x14ac:dyDescent="0.35">
      <c r="B3952" s="1"/>
    </row>
    <row r="3953" spans="2:5" x14ac:dyDescent="0.35">
      <c r="B3953" s="1"/>
    </row>
    <row r="3954" spans="2:5" x14ac:dyDescent="0.35">
      <c r="B3954" s="1"/>
      <c r="E3954" s="2"/>
    </row>
    <row r="3955" spans="2:5" x14ac:dyDescent="0.35">
      <c r="B3955" s="1"/>
    </row>
    <row r="3956" spans="2:5" x14ac:dyDescent="0.35">
      <c r="B3956" s="1"/>
      <c r="E3956" s="2"/>
    </row>
    <row r="3957" spans="2:5" x14ac:dyDescent="0.35">
      <c r="B3957" s="1"/>
    </row>
    <row r="3958" spans="2:5" x14ac:dyDescent="0.35">
      <c r="B3958" s="1"/>
    </row>
    <row r="3959" spans="2:5" x14ac:dyDescent="0.35">
      <c r="B3959" s="1"/>
    </row>
    <row r="3960" spans="2:5" x14ac:dyDescent="0.35">
      <c r="B3960" s="1"/>
      <c r="E3960" s="2"/>
    </row>
    <row r="3961" spans="2:5" x14ac:dyDescent="0.35">
      <c r="B3961" s="1"/>
    </row>
    <row r="3962" spans="2:5" x14ac:dyDescent="0.35">
      <c r="B3962" s="1"/>
    </row>
    <row r="3963" spans="2:5" x14ac:dyDescent="0.35">
      <c r="B3963" s="1"/>
      <c r="E3963" s="2"/>
    </row>
    <row r="3964" spans="2:5" x14ac:dyDescent="0.35">
      <c r="B3964" s="1"/>
      <c r="E3964" s="2"/>
    </row>
    <row r="3965" spans="2:5" x14ac:dyDescent="0.35">
      <c r="B3965" s="1"/>
    </row>
    <row r="3966" spans="2:5" x14ac:dyDescent="0.35">
      <c r="B3966" s="1"/>
    </row>
    <row r="3967" spans="2:5" x14ac:dyDescent="0.35">
      <c r="B3967" s="1"/>
    </row>
    <row r="3968" spans="2:5" x14ac:dyDescent="0.35">
      <c r="B3968" s="1"/>
      <c r="E3968" s="2"/>
    </row>
    <row r="3969" spans="2:5" x14ac:dyDescent="0.35">
      <c r="B3969" s="1"/>
    </row>
    <row r="3970" spans="2:5" x14ac:dyDescent="0.35">
      <c r="B3970" s="1"/>
      <c r="E3970" s="2"/>
    </row>
    <row r="3971" spans="2:5" x14ac:dyDescent="0.35">
      <c r="B3971" s="1"/>
    </row>
    <row r="3972" spans="2:5" x14ac:dyDescent="0.35">
      <c r="B3972" s="1"/>
    </row>
    <row r="3973" spans="2:5" x14ac:dyDescent="0.35">
      <c r="B3973" s="1"/>
    </row>
    <row r="3974" spans="2:5" x14ac:dyDescent="0.35">
      <c r="B3974" s="1"/>
    </row>
    <row r="3975" spans="2:5" x14ac:dyDescent="0.35">
      <c r="B3975" s="1"/>
    </row>
    <row r="3976" spans="2:5" x14ac:dyDescent="0.35">
      <c r="B3976" s="1"/>
      <c r="E3976" s="2"/>
    </row>
    <row r="3977" spans="2:5" x14ac:dyDescent="0.35">
      <c r="B3977" s="1"/>
    </row>
    <row r="3978" spans="2:5" x14ac:dyDescent="0.35">
      <c r="B3978" s="1"/>
    </row>
    <row r="3979" spans="2:5" x14ac:dyDescent="0.35">
      <c r="B3979" s="1"/>
    </row>
    <row r="3980" spans="2:5" x14ac:dyDescent="0.35">
      <c r="B3980" s="1"/>
    </row>
    <row r="3981" spans="2:5" x14ac:dyDescent="0.35">
      <c r="B3981" s="1"/>
      <c r="E3981" s="2"/>
    </row>
    <row r="3982" spans="2:5" x14ac:dyDescent="0.35">
      <c r="B3982" s="1"/>
      <c r="E3982" s="2"/>
    </row>
    <row r="3983" spans="2:5" x14ac:dyDescent="0.35">
      <c r="B3983" s="1"/>
    </row>
    <row r="3984" spans="2:5" x14ac:dyDescent="0.35">
      <c r="B3984" s="1"/>
    </row>
    <row r="3985" spans="2:5" x14ac:dyDescent="0.35">
      <c r="B3985" s="1"/>
      <c r="E3985" s="2"/>
    </row>
    <row r="3986" spans="2:5" x14ac:dyDescent="0.35">
      <c r="B3986" s="1"/>
      <c r="E3986" s="2"/>
    </row>
    <row r="3987" spans="2:5" x14ac:dyDescent="0.35">
      <c r="B3987" s="1"/>
      <c r="E3987" s="2"/>
    </row>
    <row r="3988" spans="2:5" x14ac:dyDescent="0.35">
      <c r="B3988" s="1"/>
      <c r="E3988" s="2"/>
    </row>
    <row r="3989" spans="2:5" x14ac:dyDescent="0.35">
      <c r="B3989" s="1"/>
      <c r="E3989" s="2"/>
    </row>
    <row r="3990" spans="2:5" x14ac:dyDescent="0.35">
      <c r="B3990" s="1"/>
      <c r="E3990" s="2"/>
    </row>
    <row r="3991" spans="2:5" x14ac:dyDescent="0.35">
      <c r="B3991" s="1"/>
    </row>
    <row r="3992" spans="2:5" x14ac:dyDescent="0.35">
      <c r="B3992" s="1"/>
    </row>
    <row r="3993" spans="2:5" x14ac:dyDescent="0.35">
      <c r="B3993" s="1"/>
    </row>
    <row r="3994" spans="2:5" x14ac:dyDescent="0.35">
      <c r="B3994" s="1"/>
    </row>
    <row r="3995" spans="2:5" x14ac:dyDescent="0.35">
      <c r="B3995" s="1"/>
      <c r="E3995" s="2"/>
    </row>
    <row r="3996" spans="2:5" x14ac:dyDescent="0.35">
      <c r="B3996" s="1"/>
      <c r="E3996" s="2"/>
    </row>
    <row r="3997" spans="2:5" x14ac:dyDescent="0.35">
      <c r="B3997" s="1"/>
      <c r="E3997" s="2"/>
    </row>
    <row r="3998" spans="2:5" x14ac:dyDescent="0.35">
      <c r="B3998" s="1"/>
      <c r="E3998" s="2"/>
    </row>
    <row r="3999" spans="2:5" x14ac:dyDescent="0.35">
      <c r="B3999" s="1"/>
    </row>
    <row r="4000" spans="2:5" x14ac:dyDescent="0.35">
      <c r="B4000" s="1"/>
      <c r="E4000" s="2"/>
    </row>
    <row r="4001" spans="2:5" x14ac:dyDescent="0.35">
      <c r="B4001" s="1"/>
    </row>
    <row r="4002" spans="2:5" x14ac:dyDescent="0.35">
      <c r="B4002" s="1"/>
      <c r="E4002" s="2"/>
    </row>
    <row r="4003" spans="2:5" x14ac:dyDescent="0.35">
      <c r="B4003" s="1"/>
    </row>
    <row r="4004" spans="2:5" x14ac:dyDescent="0.35">
      <c r="B4004" s="1"/>
    </row>
    <row r="4005" spans="2:5" x14ac:dyDescent="0.35">
      <c r="B4005" s="1"/>
      <c r="E4005" s="2"/>
    </row>
    <row r="4006" spans="2:5" x14ac:dyDescent="0.35">
      <c r="B4006" s="1"/>
      <c r="E4006" s="2"/>
    </row>
    <row r="4007" spans="2:5" x14ac:dyDescent="0.35">
      <c r="B4007" s="1"/>
    </row>
    <row r="4008" spans="2:5" x14ac:dyDescent="0.35">
      <c r="B4008" s="1"/>
    </row>
    <row r="4009" spans="2:5" x14ac:dyDescent="0.35">
      <c r="B4009" s="1"/>
      <c r="E4009" s="2"/>
    </row>
    <row r="4010" spans="2:5" x14ac:dyDescent="0.35">
      <c r="B4010" s="1"/>
    </row>
    <row r="4011" spans="2:5" x14ac:dyDescent="0.35">
      <c r="B4011" s="1"/>
    </row>
    <row r="4012" spans="2:5" x14ac:dyDescent="0.35">
      <c r="B4012" s="1"/>
    </row>
    <row r="4013" spans="2:5" x14ac:dyDescent="0.35">
      <c r="B4013" s="1"/>
    </row>
    <row r="4014" spans="2:5" x14ac:dyDescent="0.35">
      <c r="B4014" s="1"/>
    </row>
    <row r="4015" spans="2:5" x14ac:dyDescent="0.35">
      <c r="B4015" s="1"/>
    </row>
    <row r="4016" spans="2:5" x14ac:dyDescent="0.35">
      <c r="B4016" s="1"/>
    </row>
    <row r="4017" spans="2:5" x14ac:dyDescent="0.35">
      <c r="B4017" s="1"/>
      <c r="E4017" s="2"/>
    </row>
    <row r="4018" spans="2:5" x14ac:dyDescent="0.35">
      <c r="B4018" s="1"/>
      <c r="E4018" s="2"/>
    </row>
    <row r="4019" spans="2:5" x14ac:dyDescent="0.35">
      <c r="B4019" s="1"/>
    </row>
    <row r="4020" spans="2:5" x14ac:dyDescent="0.35">
      <c r="B4020" s="1"/>
      <c r="E4020" s="2"/>
    </row>
    <row r="4021" spans="2:5" x14ac:dyDescent="0.35">
      <c r="B4021" s="1"/>
    </row>
    <row r="4022" spans="2:5" x14ac:dyDescent="0.35">
      <c r="B4022" s="1"/>
      <c r="E4022" s="2"/>
    </row>
    <row r="4023" spans="2:5" x14ac:dyDescent="0.35">
      <c r="B4023" s="1"/>
    </row>
    <row r="4024" spans="2:5" x14ac:dyDescent="0.35">
      <c r="B4024" s="1"/>
      <c r="E4024" s="2"/>
    </row>
    <row r="4025" spans="2:5" x14ac:dyDescent="0.35">
      <c r="B4025" s="1"/>
    </row>
    <row r="4026" spans="2:5" x14ac:dyDescent="0.35">
      <c r="B4026" s="1"/>
      <c r="E4026" s="2"/>
    </row>
    <row r="4027" spans="2:5" x14ac:dyDescent="0.35">
      <c r="B4027" s="1"/>
    </row>
    <row r="4028" spans="2:5" x14ac:dyDescent="0.35">
      <c r="B4028" s="1"/>
      <c r="E4028" s="2"/>
    </row>
    <row r="4029" spans="2:5" x14ac:dyDescent="0.35">
      <c r="B4029" s="1"/>
      <c r="E4029" s="2"/>
    </row>
    <row r="4030" spans="2:5" x14ac:dyDescent="0.35">
      <c r="B4030" s="1"/>
    </row>
    <row r="4031" spans="2:5" x14ac:dyDescent="0.35">
      <c r="B4031" s="1"/>
    </row>
    <row r="4032" spans="2:5" x14ac:dyDescent="0.35">
      <c r="B4032" s="1"/>
      <c r="E4032" s="2"/>
    </row>
    <row r="4033" spans="2:5" x14ac:dyDescent="0.35">
      <c r="B4033" s="1"/>
      <c r="E4033" s="2"/>
    </row>
    <row r="4034" spans="2:5" x14ac:dyDescent="0.35">
      <c r="B4034" s="1"/>
      <c r="E4034" s="2"/>
    </row>
    <row r="4035" spans="2:5" x14ac:dyDescent="0.35">
      <c r="B4035" s="1"/>
      <c r="E4035" s="2"/>
    </row>
    <row r="4036" spans="2:5" x14ac:dyDescent="0.35">
      <c r="B4036" s="1"/>
      <c r="E4036" s="2"/>
    </row>
    <row r="4037" spans="2:5" x14ac:dyDescent="0.35">
      <c r="B4037" s="1"/>
      <c r="E4037" s="2"/>
    </row>
    <row r="4038" spans="2:5" x14ac:dyDescent="0.35">
      <c r="B4038" s="1"/>
    </row>
    <row r="4039" spans="2:5" x14ac:dyDescent="0.35">
      <c r="B4039" s="1"/>
      <c r="E4039" s="2"/>
    </row>
    <row r="4040" spans="2:5" x14ac:dyDescent="0.35">
      <c r="B4040" s="1"/>
    </row>
    <row r="4041" spans="2:5" x14ac:dyDescent="0.35">
      <c r="B4041" s="1"/>
      <c r="E4041" s="2"/>
    </row>
    <row r="4042" spans="2:5" x14ac:dyDescent="0.35">
      <c r="B4042" s="1"/>
    </row>
    <row r="4043" spans="2:5" x14ac:dyDescent="0.35">
      <c r="B4043" s="1"/>
    </row>
    <row r="4044" spans="2:5" x14ac:dyDescent="0.35">
      <c r="B4044" s="1"/>
      <c r="E4044" s="2"/>
    </row>
    <row r="4045" spans="2:5" x14ac:dyDescent="0.35">
      <c r="B4045" s="1"/>
    </row>
    <row r="4046" spans="2:5" x14ac:dyDescent="0.35">
      <c r="B4046" s="1"/>
      <c r="E4046" s="2"/>
    </row>
    <row r="4047" spans="2:5" x14ac:dyDescent="0.35">
      <c r="B4047" s="1"/>
      <c r="E4047" s="2"/>
    </row>
    <row r="4048" spans="2:5" x14ac:dyDescent="0.35">
      <c r="B4048" s="1"/>
    </row>
    <row r="4049" spans="2:5" x14ac:dyDescent="0.35">
      <c r="B4049" s="1"/>
    </row>
    <row r="4050" spans="2:5" x14ac:dyDescent="0.35">
      <c r="B4050" s="1"/>
      <c r="E4050" s="2"/>
    </row>
    <row r="4051" spans="2:5" x14ac:dyDescent="0.35">
      <c r="B4051" s="1"/>
      <c r="E4051" s="2"/>
    </row>
    <row r="4052" spans="2:5" x14ac:dyDescent="0.35">
      <c r="B4052" s="1"/>
      <c r="E4052" s="2"/>
    </row>
    <row r="4053" spans="2:5" x14ac:dyDescent="0.35">
      <c r="B4053" s="1"/>
      <c r="E4053" s="2"/>
    </row>
    <row r="4054" spans="2:5" x14ac:dyDescent="0.35">
      <c r="B4054" s="1"/>
    </row>
    <row r="4055" spans="2:5" x14ac:dyDescent="0.35">
      <c r="B4055" s="1"/>
      <c r="E4055" s="2"/>
    </row>
    <row r="4056" spans="2:5" x14ac:dyDescent="0.35">
      <c r="B4056" s="1"/>
      <c r="E4056" s="2"/>
    </row>
    <row r="4057" spans="2:5" x14ac:dyDescent="0.35">
      <c r="B4057" s="1"/>
      <c r="E4057" s="2"/>
    </row>
    <row r="4058" spans="2:5" x14ac:dyDescent="0.35">
      <c r="B4058" s="1"/>
    </row>
    <row r="4059" spans="2:5" x14ac:dyDescent="0.35">
      <c r="B4059" s="1"/>
    </row>
    <row r="4060" spans="2:5" x14ac:dyDescent="0.35">
      <c r="B4060" s="1"/>
    </row>
    <row r="4061" spans="2:5" x14ac:dyDescent="0.35">
      <c r="B4061" s="1"/>
      <c r="E4061" s="2"/>
    </row>
    <row r="4062" spans="2:5" x14ac:dyDescent="0.35">
      <c r="B4062" s="1"/>
    </row>
    <row r="4063" spans="2:5" x14ac:dyDescent="0.35">
      <c r="B4063" s="1"/>
      <c r="E4063" s="2"/>
    </row>
    <row r="4064" spans="2:5" x14ac:dyDescent="0.35">
      <c r="B4064" s="1"/>
    </row>
    <row r="4065" spans="2:5" x14ac:dyDescent="0.35">
      <c r="B4065" s="1"/>
      <c r="E4065" s="2"/>
    </row>
    <row r="4066" spans="2:5" x14ac:dyDescent="0.35">
      <c r="B4066" s="1"/>
    </row>
    <row r="4067" spans="2:5" x14ac:dyDescent="0.35">
      <c r="B4067" s="1"/>
      <c r="E4067" s="2"/>
    </row>
    <row r="4068" spans="2:5" x14ac:dyDescent="0.35">
      <c r="B4068" s="1"/>
      <c r="E4068" s="2"/>
    </row>
    <row r="4069" spans="2:5" x14ac:dyDescent="0.35">
      <c r="B4069" s="1"/>
    </row>
    <row r="4070" spans="2:5" x14ac:dyDescent="0.35">
      <c r="B4070" s="1"/>
      <c r="E4070" s="2"/>
    </row>
    <row r="4071" spans="2:5" x14ac:dyDescent="0.35">
      <c r="B4071" s="1"/>
    </row>
    <row r="4072" spans="2:5" x14ac:dyDescent="0.35">
      <c r="B4072" s="1"/>
    </row>
    <row r="4073" spans="2:5" x14ac:dyDescent="0.35">
      <c r="B4073" s="1"/>
    </row>
    <row r="4074" spans="2:5" x14ac:dyDescent="0.35">
      <c r="B4074" s="1"/>
    </row>
    <row r="4075" spans="2:5" x14ac:dyDescent="0.35">
      <c r="B4075" s="1"/>
    </row>
    <row r="4076" spans="2:5" x14ac:dyDescent="0.35">
      <c r="B4076" s="1"/>
    </row>
    <row r="4077" spans="2:5" x14ac:dyDescent="0.35">
      <c r="B4077" s="1"/>
    </row>
    <row r="4078" spans="2:5" x14ac:dyDescent="0.35">
      <c r="B4078" s="1"/>
      <c r="E4078" s="2"/>
    </row>
    <row r="4079" spans="2:5" x14ac:dyDescent="0.35">
      <c r="B4079" s="1"/>
      <c r="E4079" s="2"/>
    </row>
    <row r="4080" spans="2:5" x14ac:dyDescent="0.35">
      <c r="B4080" s="1"/>
      <c r="E4080" s="2"/>
    </row>
    <row r="4081" spans="2:5" x14ac:dyDescent="0.35">
      <c r="B4081" s="1"/>
    </row>
    <row r="4082" spans="2:5" x14ac:dyDescent="0.35">
      <c r="B4082" s="1"/>
      <c r="E4082" s="2"/>
    </row>
    <row r="4083" spans="2:5" x14ac:dyDescent="0.35">
      <c r="B4083" s="1"/>
      <c r="E4083" s="2"/>
    </row>
    <row r="4084" spans="2:5" x14ac:dyDescent="0.35">
      <c r="B4084" s="1"/>
      <c r="E4084" s="2"/>
    </row>
    <row r="4085" spans="2:5" x14ac:dyDescent="0.35">
      <c r="B4085" s="1"/>
      <c r="E4085" s="2"/>
    </row>
    <row r="4086" spans="2:5" x14ac:dyDescent="0.35">
      <c r="B4086" s="1"/>
    </row>
    <row r="4087" spans="2:5" x14ac:dyDescent="0.35">
      <c r="B4087" s="1"/>
    </row>
    <row r="4088" spans="2:5" x14ac:dyDescent="0.35">
      <c r="B4088" s="1"/>
      <c r="E4088" s="2"/>
    </row>
    <row r="4089" spans="2:5" x14ac:dyDescent="0.35">
      <c r="B4089" s="1"/>
      <c r="E4089" s="2"/>
    </row>
    <row r="4090" spans="2:5" x14ac:dyDescent="0.35">
      <c r="B4090" s="1"/>
    </row>
    <row r="4091" spans="2:5" x14ac:dyDescent="0.35">
      <c r="B4091" s="1"/>
      <c r="E4091" s="2"/>
    </row>
    <row r="4092" spans="2:5" x14ac:dyDescent="0.35">
      <c r="B4092" s="1"/>
    </row>
    <row r="4093" spans="2:5" x14ac:dyDescent="0.35">
      <c r="B4093" s="1"/>
    </row>
    <row r="4094" spans="2:5" x14ac:dyDescent="0.35">
      <c r="B4094" s="1"/>
    </row>
    <row r="4095" spans="2:5" x14ac:dyDescent="0.35">
      <c r="B4095" s="1"/>
      <c r="E4095" s="2"/>
    </row>
    <row r="4096" spans="2:5" x14ac:dyDescent="0.35">
      <c r="B4096" s="1"/>
      <c r="E4096" s="2"/>
    </row>
    <row r="4097" spans="2:5" x14ac:dyDescent="0.35">
      <c r="B4097" s="1"/>
    </row>
    <row r="4098" spans="2:5" x14ac:dyDescent="0.35">
      <c r="B4098" s="1"/>
      <c r="E4098" s="2"/>
    </row>
    <row r="4099" spans="2:5" x14ac:dyDescent="0.35">
      <c r="B4099" s="1"/>
    </row>
    <row r="4100" spans="2:5" x14ac:dyDescent="0.35">
      <c r="B4100" s="1"/>
      <c r="E4100" s="2"/>
    </row>
    <row r="4101" spans="2:5" x14ac:dyDescent="0.35">
      <c r="B4101" s="1"/>
    </row>
    <row r="4102" spans="2:5" x14ac:dyDescent="0.35">
      <c r="B4102" s="1"/>
      <c r="E4102" s="2"/>
    </row>
    <row r="4103" spans="2:5" x14ac:dyDescent="0.35">
      <c r="B4103" s="1"/>
    </row>
    <row r="4104" spans="2:5" x14ac:dyDescent="0.35">
      <c r="B4104" s="1"/>
      <c r="E4104" s="2"/>
    </row>
    <row r="4105" spans="2:5" x14ac:dyDescent="0.35">
      <c r="B4105" s="1"/>
      <c r="E4105" s="2"/>
    </row>
    <row r="4106" spans="2:5" x14ac:dyDescent="0.35">
      <c r="B4106" s="1"/>
    </row>
    <row r="4107" spans="2:5" x14ac:dyDescent="0.35">
      <c r="B4107" s="1"/>
      <c r="E4107" s="2"/>
    </row>
    <row r="4108" spans="2:5" x14ac:dyDescent="0.35">
      <c r="B4108" s="1"/>
    </row>
    <row r="4109" spans="2:5" x14ac:dyDescent="0.35">
      <c r="B4109" s="1"/>
      <c r="E4109" s="2"/>
    </row>
    <row r="4110" spans="2:5" x14ac:dyDescent="0.35">
      <c r="B4110" s="1"/>
      <c r="E4110" s="2"/>
    </row>
    <row r="4111" spans="2:5" x14ac:dyDescent="0.35">
      <c r="B4111" s="1"/>
      <c r="E4111" s="2"/>
    </row>
    <row r="4112" spans="2:5" x14ac:dyDescent="0.35">
      <c r="B4112" s="1"/>
    </row>
    <row r="4113" spans="2:5" x14ac:dyDescent="0.35">
      <c r="B4113" s="1"/>
      <c r="E4113" s="2"/>
    </row>
    <row r="4114" spans="2:5" x14ac:dyDescent="0.35">
      <c r="B4114" s="1"/>
    </row>
    <row r="4115" spans="2:5" x14ac:dyDescent="0.35">
      <c r="B4115" s="1"/>
      <c r="E4115" s="2"/>
    </row>
    <row r="4116" spans="2:5" x14ac:dyDescent="0.35">
      <c r="B4116" s="1"/>
      <c r="E4116" s="2"/>
    </row>
    <row r="4117" spans="2:5" x14ac:dyDescent="0.35">
      <c r="B4117" s="1"/>
    </row>
    <row r="4118" spans="2:5" x14ac:dyDescent="0.35">
      <c r="B4118" s="1"/>
    </row>
    <row r="4119" spans="2:5" x14ac:dyDescent="0.35">
      <c r="B4119" s="1"/>
    </row>
    <row r="4120" spans="2:5" x14ac:dyDescent="0.35">
      <c r="B4120" s="1"/>
    </row>
    <row r="4121" spans="2:5" x14ac:dyDescent="0.35">
      <c r="B4121" s="1"/>
      <c r="E4121" s="2"/>
    </row>
    <row r="4122" spans="2:5" x14ac:dyDescent="0.35">
      <c r="B4122" s="1"/>
    </row>
    <row r="4123" spans="2:5" x14ac:dyDescent="0.35">
      <c r="B4123" s="1"/>
    </row>
    <row r="4124" spans="2:5" x14ac:dyDescent="0.35">
      <c r="B4124" s="1"/>
    </row>
    <row r="4125" spans="2:5" x14ac:dyDescent="0.35">
      <c r="B4125" s="1"/>
    </row>
    <row r="4126" spans="2:5" x14ac:dyDescent="0.35">
      <c r="B4126" s="1"/>
    </row>
    <row r="4127" spans="2:5" x14ac:dyDescent="0.35">
      <c r="B4127" s="1"/>
      <c r="E4127" s="2"/>
    </row>
    <row r="4128" spans="2:5" x14ac:dyDescent="0.35">
      <c r="B4128" s="1"/>
      <c r="E4128" s="2"/>
    </row>
    <row r="4129" spans="2:5" x14ac:dyDescent="0.35">
      <c r="B4129" s="1"/>
    </row>
    <row r="4130" spans="2:5" x14ac:dyDescent="0.35">
      <c r="B4130" s="1"/>
    </row>
    <row r="4131" spans="2:5" x14ac:dyDescent="0.35">
      <c r="B4131" s="1"/>
      <c r="E4131" s="2"/>
    </row>
    <row r="4132" spans="2:5" x14ac:dyDescent="0.35">
      <c r="B4132" s="1"/>
    </row>
    <row r="4133" spans="2:5" x14ac:dyDescent="0.35">
      <c r="B4133" s="1"/>
      <c r="E4133" s="2"/>
    </row>
    <row r="4134" spans="2:5" x14ac:dyDescent="0.35">
      <c r="B4134" s="1"/>
    </row>
    <row r="4135" spans="2:5" x14ac:dyDescent="0.35">
      <c r="B4135" s="1"/>
    </row>
    <row r="4136" spans="2:5" x14ac:dyDescent="0.35">
      <c r="B4136" s="1"/>
      <c r="E4136" s="2"/>
    </row>
    <row r="4137" spans="2:5" x14ac:dyDescent="0.35">
      <c r="B4137" s="1"/>
      <c r="E4137" s="2"/>
    </row>
    <row r="4138" spans="2:5" x14ac:dyDescent="0.35">
      <c r="B4138" s="1"/>
      <c r="E4138" s="2"/>
    </row>
    <row r="4139" spans="2:5" x14ac:dyDescent="0.35">
      <c r="B4139" s="1"/>
      <c r="E4139" s="2"/>
    </row>
    <row r="4140" spans="2:5" x14ac:dyDescent="0.35">
      <c r="B4140" s="1"/>
      <c r="E4140" s="2"/>
    </row>
    <row r="4141" spans="2:5" x14ac:dyDescent="0.35">
      <c r="B4141" s="1"/>
    </row>
    <row r="4142" spans="2:5" x14ac:dyDescent="0.35">
      <c r="B4142" s="1"/>
    </row>
    <row r="4143" spans="2:5" x14ac:dyDescent="0.35">
      <c r="B4143" s="1"/>
      <c r="E4143" s="2"/>
    </row>
    <row r="4144" spans="2:5" x14ac:dyDescent="0.35">
      <c r="B4144" s="1"/>
    </row>
    <row r="4145" spans="2:5" x14ac:dyDescent="0.35">
      <c r="B4145" s="1"/>
      <c r="E4145" s="2"/>
    </row>
    <row r="4146" spans="2:5" x14ac:dyDescent="0.35">
      <c r="B4146" s="1"/>
    </row>
    <row r="4147" spans="2:5" x14ac:dyDescent="0.35">
      <c r="B4147" s="1"/>
    </row>
    <row r="4148" spans="2:5" x14ac:dyDescent="0.35">
      <c r="B4148" s="1"/>
      <c r="E4148" s="2"/>
    </row>
    <row r="4149" spans="2:5" x14ac:dyDescent="0.35">
      <c r="B4149" s="1"/>
    </row>
    <row r="4150" spans="2:5" x14ac:dyDescent="0.35">
      <c r="B4150" s="1"/>
      <c r="E4150" s="2"/>
    </row>
    <row r="4151" spans="2:5" x14ac:dyDescent="0.35">
      <c r="B4151" s="1"/>
      <c r="E4151" s="2"/>
    </row>
    <row r="4152" spans="2:5" x14ac:dyDescent="0.35">
      <c r="B4152" s="1"/>
      <c r="E4152" s="2"/>
    </row>
    <row r="4153" spans="2:5" x14ac:dyDescent="0.35">
      <c r="B4153" s="1"/>
    </row>
    <row r="4154" spans="2:5" x14ac:dyDescent="0.35">
      <c r="B4154" s="1"/>
      <c r="E4154" s="2"/>
    </row>
    <row r="4155" spans="2:5" x14ac:dyDescent="0.35">
      <c r="B4155" s="1"/>
      <c r="E4155" s="2"/>
    </row>
    <row r="4156" spans="2:5" x14ac:dyDescent="0.35">
      <c r="B4156" s="1"/>
    </row>
    <row r="4157" spans="2:5" x14ac:dyDescent="0.35">
      <c r="B4157" s="1"/>
      <c r="E4157" s="2"/>
    </row>
    <row r="4158" spans="2:5" x14ac:dyDescent="0.35">
      <c r="B4158" s="1"/>
      <c r="E4158" s="2"/>
    </row>
    <row r="4159" spans="2:5" x14ac:dyDescent="0.35">
      <c r="B4159" s="1"/>
    </row>
    <row r="4160" spans="2:5" x14ac:dyDescent="0.35">
      <c r="B4160" s="1"/>
      <c r="E4160" s="2"/>
    </row>
    <row r="4161" spans="2:5" x14ac:dyDescent="0.35">
      <c r="B4161" s="1"/>
      <c r="E4161" s="2"/>
    </row>
    <row r="4162" spans="2:5" x14ac:dyDescent="0.35">
      <c r="B4162" s="1"/>
    </row>
    <row r="4163" spans="2:5" x14ac:dyDescent="0.35">
      <c r="B4163" s="1"/>
    </row>
    <row r="4164" spans="2:5" x14ac:dyDescent="0.35">
      <c r="B4164" s="1"/>
    </row>
    <row r="4165" spans="2:5" x14ac:dyDescent="0.35">
      <c r="B4165" s="1"/>
      <c r="E4165" s="2"/>
    </row>
    <row r="4166" spans="2:5" x14ac:dyDescent="0.35">
      <c r="B4166" s="1"/>
      <c r="E4166" s="2"/>
    </row>
    <row r="4167" spans="2:5" x14ac:dyDescent="0.35">
      <c r="B4167" s="1"/>
    </row>
    <row r="4168" spans="2:5" x14ac:dyDescent="0.35">
      <c r="B4168" s="1"/>
    </row>
    <row r="4169" spans="2:5" x14ac:dyDescent="0.35">
      <c r="B4169" s="1"/>
      <c r="E4169" s="2"/>
    </row>
    <row r="4170" spans="2:5" x14ac:dyDescent="0.35">
      <c r="B4170" s="1"/>
    </row>
    <row r="4171" spans="2:5" x14ac:dyDescent="0.35">
      <c r="B4171" s="1"/>
    </row>
    <row r="4172" spans="2:5" x14ac:dyDescent="0.35">
      <c r="B4172" s="1"/>
    </row>
    <row r="4173" spans="2:5" x14ac:dyDescent="0.35">
      <c r="B4173" s="1"/>
      <c r="E4173" s="2"/>
    </row>
    <row r="4174" spans="2:5" x14ac:dyDescent="0.35">
      <c r="B4174" s="1"/>
    </row>
    <row r="4175" spans="2:5" x14ac:dyDescent="0.35">
      <c r="B4175" s="1"/>
      <c r="E4175" s="2"/>
    </row>
    <row r="4176" spans="2:5" x14ac:dyDescent="0.35">
      <c r="B4176" s="1"/>
      <c r="E4176" s="2"/>
    </row>
    <row r="4177" spans="2:5" x14ac:dyDescent="0.35">
      <c r="B4177" s="1"/>
    </row>
    <row r="4178" spans="2:5" x14ac:dyDescent="0.35">
      <c r="B4178" s="1"/>
    </row>
    <row r="4179" spans="2:5" x14ac:dyDescent="0.35">
      <c r="B4179" s="1"/>
      <c r="E4179" s="2"/>
    </row>
    <row r="4180" spans="2:5" x14ac:dyDescent="0.35">
      <c r="B4180" s="1"/>
      <c r="E4180" s="2"/>
    </row>
    <row r="4181" spans="2:5" x14ac:dyDescent="0.35">
      <c r="B4181" s="1"/>
    </row>
    <row r="4182" spans="2:5" x14ac:dyDescent="0.35">
      <c r="B4182" s="1"/>
      <c r="E4182" s="2"/>
    </row>
    <row r="4183" spans="2:5" x14ac:dyDescent="0.35">
      <c r="B4183" s="1"/>
      <c r="E4183" s="2"/>
    </row>
    <row r="4184" spans="2:5" x14ac:dyDescent="0.35">
      <c r="B4184" s="1"/>
    </row>
    <row r="4185" spans="2:5" x14ac:dyDescent="0.35">
      <c r="B4185" s="1"/>
    </row>
    <row r="4186" spans="2:5" x14ac:dyDescent="0.35">
      <c r="B4186" s="1"/>
      <c r="E4186" s="2"/>
    </row>
    <row r="4187" spans="2:5" x14ac:dyDescent="0.35">
      <c r="B4187" s="1"/>
      <c r="E4187" s="2"/>
    </row>
    <row r="4188" spans="2:5" x14ac:dyDescent="0.35">
      <c r="B4188" s="1"/>
      <c r="E4188" s="2"/>
    </row>
    <row r="4189" spans="2:5" x14ac:dyDescent="0.35">
      <c r="B4189" s="1"/>
      <c r="E4189" s="2"/>
    </row>
    <row r="4190" spans="2:5" x14ac:dyDescent="0.35">
      <c r="B4190" s="1"/>
    </row>
    <row r="4191" spans="2:5" x14ac:dyDescent="0.35">
      <c r="B4191" s="1"/>
      <c r="E4191" s="2"/>
    </row>
    <row r="4192" spans="2:5" x14ac:dyDescent="0.35">
      <c r="B4192" s="1"/>
    </row>
    <row r="4193" spans="2:5" x14ac:dyDescent="0.35">
      <c r="B4193" s="1"/>
      <c r="E4193" s="2"/>
    </row>
    <row r="4194" spans="2:5" x14ac:dyDescent="0.35">
      <c r="B4194" s="1"/>
    </row>
    <row r="4195" spans="2:5" x14ac:dyDescent="0.35">
      <c r="B4195" s="1"/>
      <c r="E4195" s="2"/>
    </row>
    <row r="4196" spans="2:5" x14ac:dyDescent="0.35">
      <c r="B4196" s="1"/>
      <c r="E4196" s="2"/>
    </row>
    <row r="4197" spans="2:5" x14ac:dyDescent="0.35">
      <c r="B4197" s="1"/>
      <c r="E4197" s="2"/>
    </row>
    <row r="4198" spans="2:5" x14ac:dyDescent="0.35">
      <c r="B4198" s="1"/>
    </row>
    <row r="4199" spans="2:5" x14ac:dyDescent="0.35">
      <c r="B4199" s="1"/>
      <c r="E4199" s="2"/>
    </row>
    <row r="4200" spans="2:5" x14ac:dyDescent="0.35">
      <c r="B4200" s="1"/>
      <c r="E4200" s="2"/>
    </row>
    <row r="4201" spans="2:5" x14ac:dyDescent="0.35">
      <c r="B4201" s="1"/>
    </row>
    <row r="4202" spans="2:5" x14ac:dyDescent="0.35">
      <c r="B4202" s="1"/>
      <c r="E4202" s="2"/>
    </row>
    <row r="4203" spans="2:5" x14ac:dyDescent="0.35">
      <c r="B4203" s="1"/>
      <c r="E4203" s="2"/>
    </row>
    <row r="4204" spans="2:5" x14ac:dyDescent="0.35">
      <c r="B4204" s="1"/>
      <c r="E4204" s="2"/>
    </row>
    <row r="4205" spans="2:5" x14ac:dyDescent="0.35">
      <c r="B4205" s="1"/>
    </row>
    <row r="4206" spans="2:5" x14ac:dyDescent="0.35">
      <c r="B4206" s="1"/>
    </row>
    <row r="4207" spans="2:5" x14ac:dyDescent="0.35">
      <c r="B4207" s="1"/>
    </row>
    <row r="4208" spans="2:5" x14ac:dyDescent="0.35">
      <c r="B4208" s="1"/>
    </row>
    <row r="4209" spans="2:5" x14ac:dyDescent="0.35">
      <c r="B4209" s="1"/>
    </row>
    <row r="4210" spans="2:5" x14ac:dyDescent="0.35">
      <c r="B4210" s="1"/>
    </row>
    <row r="4211" spans="2:5" x14ac:dyDescent="0.35">
      <c r="B4211" s="1"/>
      <c r="E4211" s="2"/>
    </row>
    <row r="4212" spans="2:5" x14ac:dyDescent="0.35">
      <c r="B4212" s="1"/>
      <c r="E4212" s="2"/>
    </row>
    <row r="4213" spans="2:5" x14ac:dyDescent="0.35">
      <c r="B4213" s="1"/>
      <c r="E4213" s="2"/>
    </row>
    <row r="4214" spans="2:5" x14ac:dyDescent="0.35">
      <c r="B4214" s="1"/>
    </row>
    <row r="4215" spans="2:5" x14ac:dyDescent="0.35">
      <c r="B4215" s="1"/>
    </row>
    <row r="4216" spans="2:5" x14ac:dyDescent="0.35">
      <c r="B4216" s="1"/>
    </row>
    <row r="4217" spans="2:5" x14ac:dyDescent="0.35">
      <c r="B4217" s="1"/>
      <c r="E4217" s="2"/>
    </row>
    <row r="4218" spans="2:5" x14ac:dyDescent="0.35">
      <c r="B4218" s="1"/>
    </row>
    <row r="4219" spans="2:5" x14ac:dyDescent="0.35">
      <c r="B4219" s="1"/>
      <c r="E4219" s="2"/>
    </row>
    <row r="4220" spans="2:5" x14ac:dyDescent="0.35">
      <c r="B4220" s="1"/>
      <c r="E4220" s="2"/>
    </row>
    <row r="4221" spans="2:5" x14ac:dyDescent="0.35">
      <c r="B4221" s="1"/>
      <c r="E4221" s="2"/>
    </row>
    <row r="4222" spans="2:5" x14ac:dyDescent="0.35">
      <c r="B4222" s="1"/>
      <c r="E4222" s="2"/>
    </row>
    <row r="4223" spans="2:5" x14ac:dyDescent="0.35">
      <c r="B4223" s="1"/>
    </row>
    <row r="4224" spans="2:5" x14ac:dyDescent="0.35">
      <c r="B4224" s="1"/>
      <c r="E4224" s="2"/>
    </row>
    <row r="4225" spans="2:5" x14ac:dyDescent="0.35">
      <c r="B4225" s="1"/>
    </row>
    <row r="4226" spans="2:5" x14ac:dyDescent="0.35">
      <c r="B4226" s="1"/>
    </row>
    <row r="4227" spans="2:5" x14ac:dyDescent="0.35">
      <c r="B4227" s="1"/>
      <c r="E4227" s="2"/>
    </row>
    <row r="4228" spans="2:5" x14ac:dyDescent="0.35">
      <c r="B4228" s="1"/>
      <c r="E4228" s="2"/>
    </row>
    <row r="4229" spans="2:5" x14ac:dyDescent="0.35">
      <c r="B4229" s="1"/>
    </row>
    <row r="4230" spans="2:5" x14ac:dyDescent="0.35">
      <c r="B4230" s="1"/>
      <c r="E4230" s="2"/>
    </row>
    <row r="4231" spans="2:5" x14ac:dyDescent="0.35">
      <c r="B4231" s="1"/>
      <c r="E4231" s="2"/>
    </row>
    <row r="4232" spans="2:5" x14ac:dyDescent="0.35">
      <c r="B4232" s="1"/>
    </row>
    <row r="4233" spans="2:5" x14ac:dyDescent="0.35">
      <c r="B4233" s="1"/>
    </row>
    <row r="4234" spans="2:5" x14ac:dyDescent="0.35">
      <c r="B4234" s="1"/>
    </row>
    <row r="4235" spans="2:5" x14ac:dyDescent="0.35">
      <c r="B4235" s="1"/>
      <c r="E4235" s="2"/>
    </row>
    <row r="4236" spans="2:5" x14ac:dyDescent="0.35">
      <c r="B4236" s="1"/>
      <c r="E4236" s="2"/>
    </row>
    <row r="4237" spans="2:5" x14ac:dyDescent="0.35">
      <c r="B4237" s="1"/>
      <c r="E4237" s="2"/>
    </row>
    <row r="4238" spans="2:5" x14ac:dyDescent="0.35">
      <c r="B4238" s="1"/>
    </row>
    <row r="4239" spans="2:5" x14ac:dyDescent="0.35">
      <c r="B4239" s="1"/>
      <c r="E4239" s="2"/>
    </row>
    <row r="4240" spans="2:5" x14ac:dyDescent="0.35">
      <c r="B4240" s="1"/>
      <c r="E4240" s="2"/>
    </row>
    <row r="4241" spans="2:5" x14ac:dyDescent="0.35">
      <c r="B4241" s="1"/>
    </row>
    <row r="4242" spans="2:5" x14ac:dyDescent="0.35">
      <c r="B4242" s="1"/>
      <c r="E4242" s="2"/>
    </row>
    <row r="4243" spans="2:5" x14ac:dyDescent="0.35">
      <c r="B4243" s="1"/>
      <c r="E4243" s="2"/>
    </row>
    <row r="4244" spans="2:5" x14ac:dyDescent="0.35">
      <c r="B4244" s="1"/>
      <c r="E4244" s="2"/>
    </row>
    <row r="4245" spans="2:5" x14ac:dyDescent="0.35">
      <c r="B4245" s="1"/>
      <c r="E4245" s="2"/>
    </row>
    <row r="4246" spans="2:5" x14ac:dyDescent="0.35">
      <c r="B4246" s="1"/>
    </row>
    <row r="4247" spans="2:5" x14ac:dyDescent="0.35">
      <c r="B4247" s="1"/>
    </row>
    <row r="4248" spans="2:5" x14ac:dyDescent="0.35">
      <c r="B4248" s="1"/>
      <c r="E4248" s="2"/>
    </row>
    <row r="4249" spans="2:5" x14ac:dyDescent="0.35">
      <c r="B4249" s="1"/>
      <c r="E4249" s="2"/>
    </row>
    <row r="4250" spans="2:5" x14ac:dyDescent="0.35">
      <c r="B4250" s="1"/>
    </row>
    <row r="4251" spans="2:5" x14ac:dyDescent="0.35">
      <c r="B4251" s="1"/>
      <c r="E4251" s="2"/>
    </row>
    <row r="4252" spans="2:5" x14ac:dyDescent="0.35">
      <c r="B4252" s="1"/>
      <c r="E4252" s="2"/>
    </row>
    <row r="4253" spans="2:5" x14ac:dyDescent="0.35">
      <c r="B4253" s="1"/>
      <c r="E4253" s="2"/>
    </row>
    <row r="4254" spans="2:5" x14ac:dyDescent="0.35">
      <c r="B4254" s="1"/>
      <c r="E4254" s="2"/>
    </row>
    <row r="4255" spans="2:5" x14ac:dyDescent="0.35">
      <c r="B4255" s="1"/>
      <c r="E4255" s="2"/>
    </row>
    <row r="4256" spans="2:5" x14ac:dyDescent="0.35">
      <c r="B4256" s="1"/>
      <c r="E4256" s="2"/>
    </row>
    <row r="4257" spans="2:5" x14ac:dyDescent="0.35">
      <c r="B4257" s="1"/>
      <c r="E4257" s="2"/>
    </row>
    <row r="4258" spans="2:5" x14ac:dyDescent="0.35">
      <c r="B4258" s="1"/>
      <c r="E4258" s="2"/>
    </row>
    <row r="4259" spans="2:5" x14ac:dyDescent="0.35">
      <c r="B4259" s="1"/>
      <c r="E4259" s="2"/>
    </row>
    <row r="4260" spans="2:5" x14ac:dyDescent="0.35">
      <c r="B4260" s="1"/>
      <c r="E4260" s="2"/>
    </row>
    <row r="4261" spans="2:5" x14ac:dyDescent="0.35">
      <c r="B4261" s="1"/>
    </row>
    <row r="4262" spans="2:5" x14ac:dyDescent="0.35">
      <c r="B4262" s="1"/>
      <c r="E4262" s="2"/>
    </row>
    <row r="4263" spans="2:5" x14ac:dyDescent="0.35">
      <c r="B4263" s="1"/>
    </row>
    <row r="4264" spans="2:5" x14ac:dyDescent="0.35">
      <c r="B4264" s="1"/>
    </row>
    <row r="4265" spans="2:5" x14ac:dyDescent="0.35">
      <c r="B4265" s="1"/>
    </row>
    <row r="4266" spans="2:5" x14ac:dyDescent="0.35">
      <c r="B4266" s="1"/>
    </row>
    <row r="4267" spans="2:5" x14ac:dyDescent="0.35">
      <c r="B4267" s="1"/>
      <c r="E4267" s="2"/>
    </row>
    <row r="4268" spans="2:5" x14ac:dyDescent="0.35">
      <c r="B4268" s="1"/>
    </row>
    <row r="4269" spans="2:5" x14ac:dyDescent="0.35">
      <c r="B4269" s="1"/>
      <c r="E4269" s="2"/>
    </row>
    <row r="4270" spans="2:5" x14ac:dyDescent="0.35">
      <c r="B4270" s="1"/>
    </row>
    <row r="4271" spans="2:5" x14ac:dyDescent="0.35">
      <c r="B4271" s="1"/>
    </row>
    <row r="4272" spans="2:5" x14ac:dyDescent="0.35">
      <c r="B4272" s="1"/>
    </row>
    <row r="4273" spans="2:5" x14ac:dyDescent="0.35">
      <c r="B4273" s="1"/>
      <c r="E4273" s="2"/>
    </row>
    <row r="4274" spans="2:5" x14ac:dyDescent="0.35">
      <c r="B4274" s="1"/>
      <c r="E4274" s="2"/>
    </row>
    <row r="4275" spans="2:5" x14ac:dyDescent="0.35">
      <c r="B4275" s="1"/>
    </row>
    <row r="4276" spans="2:5" x14ac:dyDescent="0.35">
      <c r="B4276" s="1"/>
    </row>
    <row r="4277" spans="2:5" x14ac:dyDescent="0.35">
      <c r="B4277" s="1"/>
    </row>
    <row r="4278" spans="2:5" x14ac:dyDescent="0.35">
      <c r="B4278" s="1"/>
      <c r="E4278" s="2"/>
    </row>
    <row r="4279" spans="2:5" x14ac:dyDescent="0.35">
      <c r="B4279" s="1"/>
    </row>
    <row r="4280" spans="2:5" x14ac:dyDescent="0.35">
      <c r="B4280" s="1"/>
    </row>
    <row r="4281" spans="2:5" x14ac:dyDescent="0.35">
      <c r="B4281" s="1"/>
      <c r="E4281" s="2"/>
    </row>
    <row r="4282" spans="2:5" x14ac:dyDescent="0.35">
      <c r="B4282" s="1"/>
      <c r="E4282" s="2"/>
    </row>
    <row r="4283" spans="2:5" x14ac:dyDescent="0.35">
      <c r="B4283" s="1"/>
    </row>
    <row r="4284" spans="2:5" x14ac:dyDescent="0.35">
      <c r="B4284" s="1"/>
    </row>
    <row r="4285" spans="2:5" x14ac:dyDescent="0.35">
      <c r="B4285" s="1"/>
      <c r="E4285" s="2"/>
    </row>
    <row r="4286" spans="2:5" x14ac:dyDescent="0.35">
      <c r="B4286" s="1"/>
    </row>
    <row r="4287" spans="2:5" x14ac:dyDescent="0.35">
      <c r="B4287" s="1"/>
      <c r="E4287" s="2"/>
    </row>
    <row r="4288" spans="2:5" x14ac:dyDescent="0.35">
      <c r="B4288" s="1"/>
    </row>
    <row r="4289" spans="2:5" x14ac:dyDescent="0.35">
      <c r="B4289" s="1"/>
      <c r="E4289" s="2"/>
    </row>
    <row r="4290" spans="2:5" x14ac:dyDescent="0.35">
      <c r="B4290" s="1"/>
      <c r="E4290" s="2"/>
    </row>
    <row r="4291" spans="2:5" x14ac:dyDescent="0.35">
      <c r="B4291" s="1"/>
    </row>
    <row r="4292" spans="2:5" x14ac:dyDescent="0.35">
      <c r="B4292" s="1"/>
      <c r="E4292" s="2"/>
    </row>
    <row r="4293" spans="2:5" x14ac:dyDescent="0.35">
      <c r="B4293" s="1"/>
      <c r="E4293" s="2"/>
    </row>
    <row r="4294" spans="2:5" x14ac:dyDescent="0.35">
      <c r="B4294" s="1"/>
    </row>
    <row r="4295" spans="2:5" x14ac:dyDescent="0.35">
      <c r="B4295" s="1"/>
    </row>
    <row r="4296" spans="2:5" x14ac:dyDescent="0.35">
      <c r="B4296" s="1"/>
    </row>
    <row r="4297" spans="2:5" x14ac:dyDescent="0.35">
      <c r="B4297" s="1"/>
    </row>
    <row r="4298" spans="2:5" x14ac:dyDescent="0.35">
      <c r="B4298" s="1"/>
      <c r="E4298" s="2"/>
    </row>
    <row r="4299" spans="2:5" x14ac:dyDescent="0.35">
      <c r="B4299" s="1"/>
      <c r="E4299" s="2"/>
    </row>
    <row r="4300" spans="2:5" x14ac:dyDescent="0.35">
      <c r="B4300" s="1"/>
      <c r="E4300" s="2"/>
    </row>
    <row r="4301" spans="2:5" x14ac:dyDescent="0.35">
      <c r="B4301" s="1"/>
    </row>
    <row r="4302" spans="2:5" x14ac:dyDescent="0.35">
      <c r="B4302" s="1"/>
      <c r="E4302" s="2"/>
    </row>
    <row r="4303" spans="2:5" x14ac:dyDescent="0.35">
      <c r="B4303" s="1"/>
      <c r="E4303" s="2"/>
    </row>
    <row r="4304" spans="2:5" x14ac:dyDescent="0.35">
      <c r="B4304" s="1"/>
      <c r="E4304" s="2"/>
    </row>
    <row r="4305" spans="2:5" x14ac:dyDescent="0.35">
      <c r="B4305" s="1"/>
    </row>
    <row r="4306" spans="2:5" x14ac:dyDescent="0.35">
      <c r="B4306" s="1"/>
      <c r="E4306" s="2"/>
    </row>
    <row r="4307" spans="2:5" x14ac:dyDescent="0.35">
      <c r="B4307" s="1"/>
    </row>
    <row r="4308" spans="2:5" x14ac:dyDescent="0.35">
      <c r="B4308" s="1"/>
      <c r="E4308" s="2"/>
    </row>
    <row r="4309" spans="2:5" x14ac:dyDescent="0.35">
      <c r="B4309" s="1"/>
    </row>
    <row r="4310" spans="2:5" x14ac:dyDescent="0.35">
      <c r="B4310" s="1"/>
      <c r="E4310" s="2"/>
    </row>
    <row r="4311" spans="2:5" x14ac:dyDescent="0.35">
      <c r="B4311" s="1"/>
      <c r="E4311" s="2"/>
    </row>
    <row r="4312" spans="2:5" x14ac:dyDescent="0.35">
      <c r="B4312" s="1"/>
    </row>
    <row r="4313" spans="2:5" x14ac:dyDescent="0.35">
      <c r="B4313" s="1"/>
    </row>
    <row r="4314" spans="2:5" x14ac:dyDescent="0.35">
      <c r="B4314" s="1"/>
      <c r="E4314" s="2"/>
    </row>
    <row r="4315" spans="2:5" x14ac:dyDescent="0.35">
      <c r="B4315" s="1"/>
      <c r="E4315" s="2"/>
    </row>
    <row r="4316" spans="2:5" x14ac:dyDescent="0.35">
      <c r="B4316" s="1"/>
      <c r="E4316" s="2"/>
    </row>
    <row r="4317" spans="2:5" x14ac:dyDescent="0.35">
      <c r="B4317" s="1"/>
      <c r="E4317" s="2"/>
    </row>
    <row r="4318" spans="2:5" x14ac:dyDescent="0.35">
      <c r="B4318" s="1"/>
    </row>
    <row r="4319" spans="2:5" x14ac:dyDescent="0.35">
      <c r="B4319" s="1"/>
      <c r="E4319" s="2"/>
    </row>
    <row r="4320" spans="2:5" x14ac:dyDescent="0.35">
      <c r="B4320" s="1"/>
      <c r="E4320" s="2"/>
    </row>
    <row r="4321" spans="2:5" x14ac:dyDescent="0.35">
      <c r="B4321" s="1"/>
      <c r="E4321" s="2"/>
    </row>
    <row r="4322" spans="2:5" x14ac:dyDescent="0.35">
      <c r="B4322" s="1"/>
      <c r="E4322" s="2"/>
    </row>
    <row r="4323" spans="2:5" x14ac:dyDescent="0.35">
      <c r="B4323" s="1"/>
      <c r="E4323" s="2"/>
    </row>
    <row r="4324" spans="2:5" x14ac:dyDescent="0.35">
      <c r="B4324" s="1"/>
      <c r="E4324" s="2"/>
    </row>
    <row r="4325" spans="2:5" x14ac:dyDescent="0.35">
      <c r="B4325" s="1"/>
      <c r="E4325" s="2"/>
    </row>
    <row r="4326" spans="2:5" x14ac:dyDescent="0.35">
      <c r="B4326" s="1"/>
    </row>
    <row r="4327" spans="2:5" x14ac:dyDescent="0.35">
      <c r="B4327" s="1"/>
    </row>
    <row r="4328" spans="2:5" x14ac:dyDescent="0.35">
      <c r="B4328" s="1"/>
      <c r="E4328" s="2"/>
    </row>
    <row r="4329" spans="2:5" x14ac:dyDescent="0.35">
      <c r="B4329" s="1"/>
      <c r="E4329" s="2"/>
    </row>
    <row r="4330" spans="2:5" x14ac:dyDescent="0.35">
      <c r="B4330" s="1"/>
    </row>
    <row r="4331" spans="2:5" x14ac:dyDescent="0.35">
      <c r="B4331" s="1"/>
    </row>
    <row r="4332" spans="2:5" x14ac:dyDescent="0.35">
      <c r="B4332" s="1"/>
      <c r="E4332" s="2"/>
    </row>
    <row r="4333" spans="2:5" x14ac:dyDescent="0.35">
      <c r="B4333" s="1"/>
      <c r="E4333" s="2"/>
    </row>
    <row r="4334" spans="2:5" x14ac:dyDescent="0.35">
      <c r="B4334" s="1"/>
      <c r="E4334" s="2"/>
    </row>
    <row r="4335" spans="2:5" x14ac:dyDescent="0.35">
      <c r="B4335" s="1"/>
    </row>
    <row r="4336" spans="2:5" x14ac:dyDescent="0.35">
      <c r="B4336" s="1"/>
    </row>
    <row r="4337" spans="2:5" x14ac:dyDescent="0.35">
      <c r="B4337" s="1"/>
      <c r="E4337" s="2"/>
    </row>
    <row r="4338" spans="2:5" x14ac:dyDescent="0.35">
      <c r="B4338" s="1"/>
      <c r="E4338" s="2"/>
    </row>
    <row r="4339" spans="2:5" x14ac:dyDescent="0.35">
      <c r="B4339" s="1"/>
      <c r="E4339" s="2"/>
    </row>
    <row r="4340" spans="2:5" x14ac:dyDescent="0.35">
      <c r="B4340" s="1"/>
      <c r="E4340" s="2"/>
    </row>
    <row r="4341" spans="2:5" x14ac:dyDescent="0.35">
      <c r="B4341" s="1"/>
    </row>
    <row r="4342" spans="2:5" x14ac:dyDescent="0.35">
      <c r="B4342" s="1"/>
      <c r="E4342" s="2"/>
    </row>
    <row r="4343" spans="2:5" x14ac:dyDescent="0.35">
      <c r="B4343" s="1"/>
    </row>
    <row r="4344" spans="2:5" x14ac:dyDescent="0.35">
      <c r="B4344" s="1"/>
      <c r="E4344" s="2"/>
    </row>
    <row r="4345" spans="2:5" x14ac:dyDescent="0.35">
      <c r="B4345" s="1"/>
      <c r="E4345" s="2"/>
    </row>
    <row r="4346" spans="2:5" x14ac:dyDescent="0.35">
      <c r="B4346" s="1"/>
    </row>
    <row r="4347" spans="2:5" x14ac:dyDescent="0.35">
      <c r="B4347" s="1"/>
    </row>
    <row r="4348" spans="2:5" x14ac:dyDescent="0.35">
      <c r="B4348" s="1"/>
    </row>
    <row r="4349" spans="2:5" x14ac:dyDescent="0.35">
      <c r="B4349" s="1"/>
    </row>
    <row r="4350" spans="2:5" x14ac:dyDescent="0.35">
      <c r="B4350" s="1"/>
    </row>
    <row r="4351" spans="2:5" x14ac:dyDescent="0.35">
      <c r="B4351" s="1"/>
      <c r="E4351" s="2"/>
    </row>
    <row r="4352" spans="2:5" x14ac:dyDescent="0.35">
      <c r="B4352" s="1"/>
    </row>
    <row r="4353" spans="2:5" x14ac:dyDescent="0.35">
      <c r="B4353" s="1"/>
      <c r="E4353" s="2"/>
    </row>
    <row r="4354" spans="2:5" x14ac:dyDescent="0.35">
      <c r="B4354" s="1"/>
    </row>
    <row r="4355" spans="2:5" x14ac:dyDescent="0.35">
      <c r="B4355" s="1"/>
      <c r="E4355" s="2"/>
    </row>
    <row r="4356" spans="2:5" x14ac:dyDescent="0.35">
      <c r="B4356" s="1"/>
    </row>
    <row r="4357" spans="2:5" x14ac:dyDescent="0.35">
      <c r="B4357" s="1"/>
    </row>
    <row r="4358" spans="2:5" x14ac:dyDescent="0.35">
      <c r="B4358" s="1"/>
      <c r="E4358" s="2"/>
    </row>
    <row r="4359" spans="2:5" x14ac:dyDescent="0.35">
      <c r="B4359" s="1"/>
      <c r="E4359" s="2"/>
    </row>
    <row r="4360" spans="2:5" x14ac:dyDescent="0.35">
      <c r="B4360" s="1"/>
      <c r="E4360" s="2"/>
    </row>
    <row r="4361" spans="2:5" x14ac:dyDescent="0.35">
      <c r="B4361" s="1"/>
    </row>
    <row r="4362" spans="2:5" x14ac:dyDescent="0.35">
      <c r="B4362" s="1"/>
      <c r="E4362" s="2"/>
    </row>
    <row r="4363" spans="2:5" x14ac:dyDescent="0.35">
      <c r="B4363" s="1"/>
      <c r="E4363" s="2"/>
    </row>
    <row r="4364" spans="2:5" x14ac:dyDescent="0.35">
      <c r="B4364" s="1"/>
    </row>
    <row r="4365" spans="2:5" x14ac:dyDescent="0.35">
      <c r="B4365" s="1"/>
      <c r="E4365" s="2"/>
    </row>
    <row r="4366" spans="2:5" x14ac:dyDescent="0.35">
      <c r="B4366" s="1"/>
      <c r="E4366" s="2"/>
    </row>
    <row r="4367" spans="2:5" x14ac:dyDescent="0.35">
      <c r="B4367" s="1"/>
    </row>
    <row r="4368" spans="2:5" x14ac:dyDescent="0.35">
      <c r="B4368" s="1"/>
      <c r="E4368" s="2"/>
    </row>
    <row r="4369" spans="2:5" x14ac:dyDescent="0.35">
      <c r="B4369" s="1"/>
      <c r="E4369" s="2"/>
    </row>
    <row r="4370" spans="2:5" x14ac:dyDescent="0.35">
      <c r="B4370" s="1"/>
      <c r="E4370" s="2"/>
    </row>
    <row r="4371" spans="2:5" x14ac:dyDescent="0.35">
      <c r="B4371" s="1"/>
    </row>
    <row r="4372" spans="2:5" x14ac:dyDescent="0.35">
      <c r="B4372" s="1"/>
      <c r="E4372" s="2"/>
    </row>
    <row r="4373" spans="2:5" x14ac:dyDescent="0.35">
      <c r="B4373" s="1"/>
      <c r="E4373" s="2"/>
    </row>
    <row r="4374" spans="2:5" x14ac:dyDescent="0.35">
      <c r="B4374" s="1"/>
      <c r="E4374" s="2"/>
    </row>
    <row r="4375" spans="2:5" x14ac:dyDescent="0.35">
      <c r="B4375" s="1"/>
      <c r="E4375" s="2"/>
    </row>
    <row r="4376" spans="2:5" x14ac:dyDescent="0.35">
      <c r="B4376" s="1"/>
      <c r="E4376" s="2"/>
    </row>
    <row r="4377" spans="2:5" x14ac:dyDescent="0.35">
      <c r="B4377" s="1"/>
    </row>
    <row r="4378" spans="2:5" x14ac:dyDescent="0.35">
      <c r="B4378" s="1"/>
    </row>
    <row r="4379" spans="2:5" x14ac:dyDescent="0.35">
      <c r="B4379" s="1"/>
    </row>
    <row r="4380" spans="2:5" x14ac:dyDescent="0.35">
      <c r="B4380" s="1"/>
      <c r="E4380" s="2"/>
    </row>
    <row r="4381" spans="2:5" x14ac:dyDescent="0.35">
      <c r="B4381" s="1"/>
      <c r="E4381" s="2"/>
    </row>
    <row r="4382" spans="2:5" x14ac:dyDescent="0.35">
      <c r="B4382" s="1"/>
    </row>
    <row r="4383" spans="2:5" x14ac:dyDescent="0.35">
      <c r="B4383" s="1"/>
      <c r="E4383" s="2"/>
    </row>
    <row r="4384" spans="2:5" x14ac:dyDescent="0.35">
      <c r="B4384" s="1"/>
    </row>
    <row r="4385" spans="2:5" x14ac:dyDescent="0.35">
      <c r="B4385" s="1"/>
    </row>
    <row r="4386" spans="2:5" x14ac:dyDescent="0.35">
      <c r="B4386" s="1"/>
      <c r="E4386" s="2"/>
    </row>
    <row r="4387" spans="2:5" x14ac:dyDescent="0.35">
      <c r="B4387" s="1"/>
    </row>
    <row r="4388" spans="2:5" x14ac:dyDescent="0.35">
      <c r="B4388" s="1"/>
    </row>
    <row r="4389" spans="2:5" x14ac:dyDescent="0.35">
      <c r="B4389" s="1"/>
      <c r="E4389" s="2"/>
    </row>
    <row r="4390" spans="2:5" x14ac:dyDescent="0.35">
      <c r="B4390" s="1"/>
    </row>
    <row r="4391" spans="2:5" x14ac:dyDescent="0.35">
      <c r="B4391" s="1"/>
      <c r="E4391" s="2"/>
    </row>
    <row r="4392" spans="2:5" x14ac:dyDescent="0.35">
      <c r="B4392" s="1"/>
    </row>
    <row r="4393" spans="2:5" x14ac:dyDescent="0.35">
      <c r="B4393" s="1"/>
    </row>
    <row r="4394" spans="2:5" x14ac:dyDescent="0.35">
      <c r="B4394" s="1"/>
    </row>
    <row r="4395" spans="2:5" x14ac:dyDescent="0.35">
      <c r="B4395" s="1"/>
      <c r="E4395" s="2"/>
    </row>
    <row r="4396" spans="2:5" x14ac:dyDescent="0.35">
      <c r="B4396" s="1"/>
      <c r="E4396" s="2"/>
    </row>
    <row r="4397" spans="2:5" x14ac:dyDescent="0.35">
      <c r="B4397" s="1"/>
    </row>
    <row r="4398" spans="2:5" x14ac:dyDescent="0.35">
      <c r="B4398" s="1"/>
      <c r="E4398" s="2"/>
    </row>
    <row r="4399" spans="2:5" x14ac:dyDescent="0.35">
      <c r="B4399" s="1"/>
    </row>
    <row r="4400" spans="2:5" x14ac:dyDescent="0.35">
      <c r="B4400" s="1"/>
    </row>
    <row r="4401" spans="2:5" x14ac:dyDescent="0.35">
      <c r="B4401" s="1"/>
      <c r="E4401" s="2"/>
    </row>
    <row r="4402" spans="2:5" x14ac:dyDescent="0.35">
      <c r="B4402" s="1"/>
      <c r="E4402" s="2"/>
    </row>
    <row r="4403" spans="2:5" x14ac:dyDescent="0.35">
      <c r="B4403" s="1"/>
    </row>
    <row r="4404" spans="2:5" x14ac:dyDescent="0.35">
      <c r="B4404" s="1"/>
      <c r="E4404" s="2"/>
    </row>
    <row r="4405" spans="2:5" x14ac:dyDescent="0.35">
      <c r="B4405" s="1"/>
      <c r="E4405" s="2"/>
    </row>
    <row r="4406" spans="2:5" x14ac:dyDescent="0.35">
      <c r="B4406" s="1"/>
      <c r="E4406" s="2"/>
    </row>
    <row r="4407" spans="2:5" x14ac:dyDescent="0.35">
      <c r="B4407" s="1"/>
    </row>
    <row r="4408" spans="2:5" x14ac:dyDescent="0.35">
      <c r="B4408" s="1"/>
      <c r="E4408" s="2"/>
    </row>
    <row r="4409" spans="2:5" x14ac:dyDescent="0.35">
      <c r="B4409" s="1"/>
    </row>
    <row r="4410" spans="2:5" x14ac:dyDescent="0.35">
      <c r="B4410" s="1"/>
    </row>
    <row r="4411" spans="2:5" x14ac:dyDescent="0.35">
      <c r="B4411" s="1"/>
    </row>
    <row r="4412" spans="2:5" x14ac:dyDescent="0.35">
      <c r="B4412" s="1"/>
      <c r="E4412" s="2"/>
    </row>
    <row r="4413" spans="2:5" x14ac:dyDescent="0.35">
      <c r="B4413" s="1"/>
      <c r="E4413" s="2"/>
    </row>
    <row r="4414" spans="2:5" x14ac:dyDescent="0.35">
      <c r="B4414" s="1"/>
    </row>
    <row r="4415" spans="2:5" x14ac:dyDescent="0.35">
      <c r="B4415" s="1"/>
      <c r="E4415" s="2"/>
    </row>
    <row r="4416" spans="2:5" x14ac:dyDescent="0.35">
      <c r="B4416" s="1"/>
      <c r="E4416" s="2"/>
    </row>
    <row r="4417" spans="2:5" x14ac:dyDescent="0.35">
      <c r="B4417" s="1"/>
      <c r="E4417" s="2"/>
    </row>
    <row r="4418" spans="2:5" x14ac:dyDescent="0.35">
      <c r="B4418" s="1"/>
      <c r="E4418" s="2"/>
    </row>
    <row r="4419" spans="2:5" x14ac:dyDescent="0.35">
      <c r="B4419" s="1"/>
      <c r="E4419" s="2"/>
    </row>
    <row r="4420" spans="2:5" x14ac:dyDescent="0.35">
      <c r="B4420" s="1"/>
      <c r="E4420" s="2"/>
    </row>
    <row r="4421" spans="2:5" x14ac:dyDescent="0.35">
      <c r="B4421" s="1"/>
      <c r="E4421" s="2"/>
    </row>
    <row r="4422" spans="2:5" x14ac:dyDescent="0.35">
      <c r="B4422" s="1"/>
      <c r="E4422" s="2"/>
    </row>
    <row r="4423" spans="2:5" x14ac:dyDescent="0.35">
      <c r="B4423" s="1"/>
      <c r="E4423" s="2"/>
    </row>
    <row r="4424" spans="2:5" x14ac:dyDescent="0.35">
      <c r="B4424" s="1"/>
      <c r="E4424" s="2"/>
    </row>
    <row r="4425" spans="2:5" x14ac:dyDescent="0.35">
      <c r="B4425" s="1"/>
      <c r="E4425" s="2"/>
    </row>
    <row r="4426" spans="2:5" x14ac:dyDescent="0.35">
      <c r="B4426" s="1"/>
    </row>
    <row r="4427" spans="2:5" x14ac:dyDescent="0.35">
      <c r="B4427" s="1"/>
      <c r="E4427" s="2"/>
    </row>
    <row r="4428" spans="2:5" x14ac:dyDescent="0.35">
      <c r="B4428" s="1"/>
      <c r="E4428" s="2"/>
    </row>
    <row r="4429" spans="2:5" x14ac:dyDescent="0.35">
      <c r="B4429" s="1"/>
      <c r="E4429" s="2"/>
    </row>
    <row r="4430" spans="2:5" x14ac:dyDescent="0.35">
      <c r="B4430" s="1"/>
      <c r="E4430" s="2"/>
    </row>
    <row r="4431" spans="2:5" x14ac:dyDescent="0.35">
      <c r="B4431" s="1"/>
      <c r="E4431" s="2"/>
    </row>
    <row r="4432" spans="2:5" x14ac:dyDescent="0.35">
      <c r="B4432" s="1"/>
      <c r="E4432" s="2"/>
    </row>
    <row r="4433" spans="2:5" x14ac:dyDescent="0.35">
      <c r="B4433" s="1"/>
      <c r="E4433" s="2"/>
    </row>
    <row r="4434" spans="2:5" x14ac:dyDescent="0.35">
      <c r="B4434" s="1"/>
    </row>
    <row r="4435" spans="2:5" x14ac:dyDescent="0.35">
      <c r="B4435" s="1"/>
      <c r="E4435" s="2"/>
    </row>
    <row r="4436" spans="2:5" x14ac:dyDescent="0.35">
      <c r="B4436" s="1"/>
    </row>
    <row r="4437" spans="2:5" x14ac:dyDescent="0.35">
      <c r="B4437" s="1"/>
    </row>
    <row r="4438" spans="2:5" x14ac:dyDescent="0.35">
      <c r="B4438" s="1"/>
      <c r="E4438" s="2"/>
    </row>
    <row r="4439" spans="2:5" x14ac:dyDescent="0.35">
      <c r="B4439" s="1"/>
    </row>
    <row r="4440" spans="2:5" x14ac:dyDescent="0.35">
      <c r="B4440" s="1"/>
      <c r="E4440" s="2"/>
    </row>
    <row r="4441" spans="2:5" x14ac:dyDescent="0.35">
      <c r="B4441" s="1"/>
      <c r="E4441" s="2"/>
    </row>
    <row r="4442" spans="2:5" x14ac:dyDescent="0.35">
      <c r="B4442" s="1"/>
      <c r="E4442" s="2"/>
    </row>
    <row r="4443" spans="2:5" x14ac:dyDescent="0.35">
      <c r="B4443" s="1"/>
    </row>
    <row r="4444" spans="2:5" x14ac:dyDescent="0.35">
      <c r="B4444" s="1"/>
      <c r="E4444" s="2"/>
    </row>
    <row r="4445" spans="2:5" x14ac:dyDescent="0.35">
      <c r="B4445" s="1"/>
    </row>
    <row r="4446" spans="2:5" x14ac:dyDescent="0.35">
      <c r="B4446" s="1"/>
    </row>
    <row r="4447" spans="2:5" x14ac:dyDescent="0.35">
      <c r="B4447" s="1"/>
      <c r="E4447" s="2"/>
    </row>
    <row r="4448" spans="2:5" x14ac:dyDescent="0.35">
      <c r="B4448" s="1"/>
    </row>
    <row r="4449" spans="2:5" x14ac:dyDescent="0.35">
      <c r="B4449" s="1"/>
      <c r="E4449" s="2"/>
    </row>
    <row r="4450" spans="2:5" x14ac:dyDescent="0.35">
      <c r="B4450" s="1"/>
      <c r="E4450" s="2"/>
    </row>
    <row r="4451" spans="2:5" x14ac:dyDescent="0.35">
      <c r="B4451" s="1"/>
    </row>
    <row r="4452" spans="2:5" x14ac:dyDescent="0.35">
      <c r="B4452" s="1"/>
    </row>
    <row r="4453" spans="2:5" x14ac:dyDescent="0.35">
      <c r="B4453" s="1"/>
    </row>
    <row r="4454" spans="2:5" x14ac:dyDescent="0.35">
      <c r="B4454" s="1"/>
    </row>
    <row r="4455" spans="2:5" x14ac:dyDescent="0.35">
      <c r="B4455" s="1"/>
      <c r="E4455" s="2"/>
    </row>
    <row r="4456" spans="2:5" x14ac:dyDescent="0.35">
      <c r="B4456" s="1"/>
    </row>
    <row r="4457" spans="2:5" x14ac:dyDescent="0.35">
      <c r="B4457" s="1"/>
      <c r="E4457" s="2"/>
    </row>
    <row r="4458" spans="2:5" x14ac:dyDescent="0.35">
      <c r="B4458" s="1"/>
    </row>
    <row r="4459" spans="2:5" x14ac:dyDescent="0.35">
      <c r="B4459" s="1"/>
    </row>
    <row r="4460" spans="2:5" x14ac:dyDescent="0.35">
      <c r="B4460" s="1"/>
      <c r="E4460" s="2"/>
    </row>
    <row r="4461" spans="2:5" x14ac:dyDescent="0.35">
      <c r="B4461" s="1"/>
      <c r="E4461" s="2"/>
    </row>
    <row r="4462" spans="2:5" x14ac:dyDescent="0.35">
      <c r="B4462" s="1"/>
      <c r="E4462" s="2"/>
    </row>
    <row r="4463" spans="2:5" x14ac:dyDescent="0.35">
      <c r="B4463" s="1"/>
      <c r="E4463" s="2"/>
    </row>
    <row r="4464" spans="2:5" x14ac:dyDescent="0.35">
      <c r="B4464" s="1"/>
    </row>
    <row r="4465" spans="2:5" x14ac:dyDescent="0.35">
      <c r="B4465" s="1"/>
      <c r="E4465" s="2"/>
    </row>
    <row r="4466" spans="2:5" x14ac:dyDescent="0.35">
      <c r="B4466" s="1"/>
      <c r="E4466" s="2"/>
    </row>
    <row r="4467" spans="2:5" x14ac:dyDescent="0.35">
      <c r="B4467" s="1"/>
      <c r="E4467" s="2"/>
    </row>
    <row r="4468" spans="2:5" x14ac:dyDescent="0.35">
      <c r="B4468" s="1"/>
    </row>
    <row r="4469" spans="2:5" x14ac:dyDescent="0.35">
      <c r="B4469" s="1"/>
      <c r="E4469" s="2"/>
    </row>
    <row r="4470" spans="2:5" x14ac:dyDescent="0.35">
      <c r="B4470" s="1"/>
    </row>
    <row r="4471" spans="2:5" x14ac:dyDescent="0.35">
      <c r="B4471" s="1"/>
    </row>
    <row r="4472" spans="2:5" x14ac:dyDescent="0.35">
      <c r="B4472" s="1"/>
      <c r="E4472" s="2"/>
    </row>
    <row r="4473" spans="2:5" x14ac:dyDescent="0.35">
      <c r="B4473" s="1"/>
    </row>
    <row r="4474" spans="2:5" x14ac:dyDescent="0.35">
      <c r="B4474" s="1"/>
      <c r="E4474" s="2"/>
    </row>
    <row r="4475" spans="2:5" x14ac:dyDescent="0.35">
      <c r="B4475" s="1"/>
      <c r="E4475" s="2"/>
    </row>
    <row r="4476" spans="2:5" x14ac:dyDescent="0.35">
      <c r="B4476" s="1"/>
      <c r="E4476" s="2"/>
    </row>
    <row r="4477" spans="2:5" x14ac:dyDescent="0.35">
      <c r="B4477" s="1"/>
    </row>
    <row r="4478" spans="2:5" x14ac:dyDescent="0.35">
      <c r="B4478" s="1"/>
    </row>
    <row r="4479" spans="2:5" x14ac:dyDescent="0.35">
      <c r="B4479" s="1"/>
      <c r="E4479" s="2"/>
    </row>
    <row r="4480" spans="2:5" x14ac:dyDescent="0.35">
      <c r="B4480" s="1"/>
    </row>
    <row r="4481" spans="2:5" x14ac:dyDescent="0.35">
      <c r="B4481" s="1"/>
    </row>
    <row r="4482" spans="2:5" x14ac:dyDescent="0.35">
      <c r="B4482" s="1"/>
    </row>
    <row r="4483" spans="2:5" x14ac:dyDescent="0.35">
      <c r="B4483" s="1"/>
      <c r="E4483" s="2"/>
    </row>
    <row r="4484" spans="2:5" x14ac:dyDescent="0.35">
      <c r="B4484" s="1"/>
      <c r="E4484" s="2"/>
    </row>
    <row r="4485" spans="2:5" x14ac:dyDescent="0.35">
      <c r="B4485" s="1"/>
      <c r="E4485" s="2"/>
    </row>
    <row r="4486" spans="2:5" x14ac:dyDescent="0.35">
      <c r="B4486" s="1"/>
    </row>
    <row r="4487" spans="2:5" x14ac:dyDescent="0.35">
      <c r="B4487" s="1"/>
      <c r="E4487" s="2"/>
    </row>
    <row r="4488" spans="2:5" x14ac:dyDescent="0.35">
      <c r="B4488" s="1"/>
      <c r="E4488" s="2"/>
    </row>
    <row r="4489" spans="2:5" x14ac:dyDescent="0.35">
      <c r="B4489" s="1"/>
    </row>
    <row r="4490" spans="2:5" x14ac:dyDescent="0.35">
      <c r="B4490" s="1"/>
    </row>
    <row r="4491" spans="2:5" x14ac:dyDescent="0.35">
      <c r="B4491" s="1"/>
    </row>
    <row r="4492" spans="2:5" x14ac:dyDescent="0.35">
      <c r="B4492" s="1"/>
    </row>
    <row r="4493" spans="2:5" x14ac:dyDescent="0.35">
      <c r="B4493" s="1"/>
    </row>
    <row r="4494" spans="2:5" x14ac:dyDescent="0.35">
      <c r="B4494" s="1"/>
      <c r="E4494" s="2"/>
    </row>
    <row r="4495" spans="2:5" x14ac:dyDescent="0.35">
      <c r="B4495" s="1"/>
    </row>
    <row r="4496" spans="2:5" x14ac:dyDescent="0.35">
      <c r="B4496" s="1"/>
      <c r="E4496" s="2"/>
    </row>
    <row r="4497" spans="2:5" x14ac:dyDescent="0.35">
      <c r="B4497" s="1"/>
    </row>
    <row r="4498" spans="2:5" x14ac:dyDescent="0.35">
      <c r="B4498" s="1"/>
    </row>
    <row r="4499" spans="2:5" x14ac:dyDescent="0.35">
      <c r="B4499" s="1"/>
      <c r="E4499" s="2"/>
    </row>
    <row r="4500" spans="2:5" x14ac:dyDescent="0.35">
      <c r="B4500" s="1"/>
      <c r="E4500" s="2"/>
    </row>
    <row r="4501" spans="2:5" x14ac:dyDescent="0.35">
      <c r="B4501" s="1"/>
    </row>
    <row r="4502" spans="2:5" x14ac:dyDescent="0.35">
      <c r="B4502" s="1"/>
      <c r="E4502" s="2"/>
    </row>
    <row r="4503" spans="2:5" x14ac:dyDescent="0.35">
      <c r="B4503" s="1"/>
      <c r="E4503" s="2"/>
    </row>
    <row r="4504" spans="2:5" x14ac:dyDescent="0.35">
      <c r="B4504" s="1"/>
      <c r="E4504" s="2"/>
    </row>
    <row r="4505" spans="2:5" x14ac:dyDescent="0.35">
      <c r="B4505" s="1"/>
      <c r="E4505" s="2"/>
    </row>
    <row r="4506" spans="2:5" x14ac:dyDescent="0.35">
      <c r="B4506" s="1"/>
    </row>
    <row r="4507" spans="2:5" x14ac:dyDescent="0.35">
      <c r="B4507" s="1"/>
      <c r="E4507" s="2"/>
    </row>
    <row r="4508" spans="2:5" x14ac:dyDescent="0.35">
      <c r="B4508" s="1"/>
      <c r="E4508" s="2"/>
    </row>
    <row r="4509" spans="2:5" x14ac:dyDescent="0.35">
      <c r="B4509" s="1"/>
    </row>
    <row r="4510" spans="2:5" x14ac:dyDescent="0.35">
      <c r="B4510" s="1"/>
    </row>
    <row r="4511" spans="2:5" x14ac:dyDescent="0.35">
      <c r="B4511" s="1"/>
      <c r="E4511" s="2"/>
    </row>
    <row r="4512" spans="2:5" x14ac:dyDescent="0.35">
      <c r="B4512" s="1"/>
    </row>
    <row r="4513" spans="2:5" x14ac:dyDescent="0.35">
      <c r="B4513" s="1"/>
      <c r="E4513" s="2"/>
    </row>
    <row r="4514" spans="2:5" x14ac:dyDescent="0.35">
      <c r="B4514" s="1"/>
      <c r="E4514" s="2"/>
    </row>
    <row r="4515" spans="2:5" x14ac:dyDescent="0.35">
      <c r="B4515" s="1"/>
      <c r="E4515" s="2"/>
    </row>
    <row r="4516" spans="2:5" x14ac:dyDescent="0.35">
      <c r="B4516" s="1"/>
      <c r="E4516" s="2"/>
    </row>
    <row r="4517" spans="2:5" x14ac:dyDescent="0.35">
      <c r="B4517" s="1"/>
      <c r="E4517" s="2"/>
    </row>
    <row r="4518" spans="2:5" x14ac:dyDescent="0.35">
      <c r="B4518" s="1"/>
    </row>
    <row r="4519" spans="2:5" x14ac:dyDescent="0.35">
      <c r="B4519" s="1"/>
    </row>
    <row r="4520" spans="2:5" x14ac:dyDescent="0.35">
      <c r="B4520" s="1"/>
      <c r="E4520" s="2"/>
    </row>
    <row r="4521" spans="2:5" x14ac:dyDescent="0.35">
      <c r="B4521" s="1"/>
      <c r="E4521" s="2"/>
    </row>
    <row r="4522" spans="2:5" x14ac:dyDescent="0.35">
      <c r="B4522" s="1"/>
      <c r="E4522" s="2"/>
    </row>
    <row r="4523" spans="2:5" x14ac:dyDescent="0.35">
      <c r="B4523" s="1"/>
    </row>
    <row r="4524" spans="2:5" x14ac:dyDescent="0.35">
      <c r="B4524" s="1"/>
    </row>
    <row r="4525" spans="2:5" x14ac:dyDescent="0.35">
      <c r="B4525" s="1"/>
      <c r="E4525" s="2"/>
    </row>
    <row r="4526" spans="2:5" x14ac:dyDescent="0.35">
      <c r="B4526" s="1"/>
      <c r="E4526" s="2"/>
    </row>
    <row r="4527" spans="2:5" x14ac:dyDescent="0.35">
      <c r="B4527" s="1"/>
      <c r="E4527" s="2"/>
    </row>
    <row r="4528" spans="2:5" x14ac:dyDescent="0.35">
      <c r="B4528" s="1"/>
      <c r="E4528" s="2"/>
    </row>
    <row r="4529" spans="2:5" x14ac:dyDescent="0.35">
      <c r="B4529" s="1"/>
    </row>
    <row r="4530" spans="2:5" x14ac:dyDescent="0.35">
      <c r="B4530" s="1"/>
    </row>
    <row r="4531" spans="2:5" x14ac:dyDescent="0.35">
      <c r="B4531" s="1"/>
    </row>
    <row r="4532" spans="2:5" x14ac:dyDescent="0.35">
      <c r="B4532" s="1"/>
      <c r="E4532" s="2"/>
    </row>
    <row r="4533" spans="2:5" x14ac:dyDescent="0.35">
      <c r="B4533" s="1"/>
      <c r="E4533" s="2"/>
    </row>
    <row r="4534" spans="2:5" x14ac:dyDescent="0.35">
      <c r="B4534" s="1"/>
    </row>
    <row r="4535" spans="2:5" x14ac:dyDescent="0.35">
      <c r="B4535" s="1"/>
    </row>
    <row r="4536" spans="2:5" x14ac:dyDescent="0.35">
      <c r="B4536" s="1"/>
    </row>
    <row r="4537" spans="2:5" x14ac:dyDescent="0.35">
      <c r="B4537" s="1"/>
    </row>
    <row r="4538" spans="2:5" x14ac:dyDescent="0.35">
      <c r="B4538" s="1"/>
    </row>
    <row r="4539" spans="2:5" x14ac:dyDescent="0.35">
      <c r="B4539" s="1"/>
      <c r="E4539" s="2"/>
    </row>
    <row r="4540" spans="2:5" x14ac:dyDescent="0.35">
      <c r="B4540" s="1"/>
      <c r="E4540" s="2"/>
    </row>
    <row r="4541" spans="2:5" x14ac:dyDescent="0.35">
      <c r="B4541" s="1"/>
    </row>
    <row r="4542" spans="2:5" x14ac:dyDescent="0.35">
      <c r="B4542" s="1"/>
      <c r="E4542" s="2"/>
    </row>
    <row r="4543" spans="2:5" x14ac:dyDescent="0.35">
      <c r="B4543" s="1"/>
    </row>
    <row r="4544" spans="2:5" x14ac:dyDescent="0.35">
      <c r="B4544" s="1"/>
      <c r="E4544" s="2"/>
    </row>
    <row r="4545" spans="2:5" x14ac:dyDescent="0.35">
      <c r="B4545" s="1"/>
      <c r="E4545" s="2"/>
    </row>
    <row r="4546" spans="2:5" x14ac:dyDescent="0.35">
      <c r="B4546" s="1"/>
    </row>
    <row r="4547" spans="2:5" x14ac:dyDescent="0.35">
      <c r="B4547" s="1"/>
      <c r="E4547" s="2"/>
    </row>
    <row r="4548" spans="2:5" x14ac:dyDescent="0.35">
      <c r="B4548" s="1"/>
      <c r="E4548" s="2"/>
    </row>
    <row r="4549" spans="2:5" x14ac:dyDescent="0.35">
      <c r="B4549" s="1"/>
      <c r="E4549" s="2"/>
    </row>
    <row r="4550" spans="2:5" x14ac:dyDescent="0.35">
      <c r="B4550" s="1"/>
    </row>
    <row r="4551" spans="2:5" x14ac:dyDescent="0.35">
      <c r="B4551" s="1"/>
    </row>
    <row r="4552" spans="2:5" x14ac:dyDescent="0.35">
      <c r="B4552" s="1"/>
      <c r="E4552" s="2"/>
    </row>
    <row r="4553" spans="2:5" x14ac:dyDescent="0.35">
      <c r="B4553" s="1"/>
      <c r="E4553" s="2"/>
    </row>
    <row r="4554" spans="2:5" x14ac:dyDescent="0.35">
      <c r="B4554" s="1"/>
    </row>
    <row r="4555" spans="2:5" x14ac:dyDescent="0.35">
      <c r="B4555" s="1"/>
      <c r="E4555" s="2"/>
    </row>
    <row r="4556" spans="2:5" x14ac:dyDescent="0.35">
      <c r="B4556" s="1"/>
      <c r="E4556" s="2"/>
    </row>
    <row r="4557" spans="2:5" x14ac:dyDescent="0.35">
      <c r="B4557" s="1"/>
    </row>
    <row r="4558" spans="2:5" x14ac:dyDescent="0.35">
      <c r="B4558" s="1"/>
    </row>
    <row r="4559" spans="2:5" x14ac:dyDescent="0.35">
      <c r="B4559" s="1"/>
      <c r="E4559" s="2"/>
    </row>
    <row r="4560" spans="2:5" x14ac:dyDescent="0.35">
      <c r="B4560" s="1"/>
      <c r="E4560" s="2"/>
    </row>
    <row r="4561" spans="2:5" x14ac:dyDescent="0.35">
      <c r="B4561" s="1"/>
      <c r="E4561" s="2"/>
    </row>
    <row r="4562" spans="2:5" x14ac:dyDescent="0.35">
      <c r="B4562" s="1"/>
      <c r="E4562" s="2"/>
    </row>
    <row r="4563" spans="2:5" x14ac:dyDescent="0.35">
      <c r="B4563" s="1"/>
    </row>
    <row r="4564" spans="2:5" x14ac:dyDescent="0.35">
      <c r="B4564" s="1"/>
      <c r="E4564" s="2"/>
    </row>
    <row r="4565" spans="2:5" x14ac:dyDescent="0.35">
      <c r="B4565" s="1"/>
      <c r="E4565" s="2"/>
    </row>
    <row r="4566" spans="2:5" x14ac:dyDescent="0.35">
      <c r="B4566" s="1"/>
    </row>
    <row r="4567" spans="2:5" x14ac:dyDescent="0.35">
      <c r="B4567" s="1"/>
    </row>
    <row r="4568" spans="2:5" x14ac:dyDescent="0.35">
      <c r="B4568" s="1"/>
    </row>
    <row r="4569" spans="2:5" x14ac:dyDescent="0.35">
      <c r="B4569" s="1"/>
      <c r="E4569" s="2"/>
    </row>
    <row r="4570" spans="2:5" x14ac:dyDescent="0.35">
      <c r="B4570" s="1"/>
    </row>
    <row r="4571" spans="2:5" x14ac:dyDescent="0.35">
      <c r="B4571" s="1"/>
      <c r="E4571" s="2"/>
    </row>
    <row r="4572" spans="2:5" x14ac:dyDescent="0.35">
      <c r="B4572" s="1"/>
    </row>
    <row r="4573" spans="2:5" x14ac:dyDescent="0.35">
      <c r="B4573" s="1"/>
    </row>
    <row r="4574" spans="2:5" x14ac:dyDescent="0.35">
      <c r="B4574" s="1"/>
      <c r="E4574" s="2"/>
    </row>
    <row r="4575" spans="2:5" x14ac:dyDescent="0.35">
      <c r="B4575" s="1"/>
      <c r="E4575" s="2"/>
    </row>
    <row r="4576" spans="2:5" x14ac:dyDescent="0.35">
      <c r="B4576" s="1"/>
      <c r="E4576" s="2"/>
    </row>
    <row r="4577" spans="2:5" x14ac:dyDescent="0.35">
      <c r="B4577" s="1"/>
      <c r="E4577" s="2"/>
    </row>
    <row r="4578" spans="2:5" x14ac:dyDescent="0.35">
      <c r="B4578" s="1"/>
    </row>
    <row r="4579" spans="2:5" x14ac:dyDescent="0.35">
      <c r="B4579" s="1"/>
    </row>
    <row r="4580" spans="2:5" x14ac:dyDescent="0.35">
      <c r="B4580" s="1"/>
      <c r="E4580" s="2"/>
    </row>
    <row r="4581" spans="2:5" x14ac:dyDescent="0.35">
      <c r="B4581" s="1"/>
      <c r="E4581" s="2"/>
    </row>
    <row r="4582" spans="2:5" x14ac:dyDescent="0.35">
      <c r="B4582" s="1"/>
      <c r="E4582" s="2"/>
    </row>
    <row r="4583" spans="2:5" x14ac:dyDescent="0.35">
      <c r="B4583" s="1"/>
    </row>
    <row r="4584" spans="2:5" x14ac:dyDescent="0.35">
      <c r="B4584" s="1"/>
      <c r="E4584" s="2"/>
    </row>
    <row r="4585" spans="2:5" x14ac:dyDescent="0.35">
      <c r="B4585" s="1"/>
    </row>
    <row r="4586" spans="2:5" x14ac:dyDescent="0.35">
      <c r="B4586" s="1"/>
    </row>
    <row r="4587" spans="2:5" x14ac:dyDescent="0.35">
      <c r="B4587" s="1"/>
    </row>
    <row r="4588" spans="2:5" x14ac:dyDescent="0.35">
      <c r="B4588" s="1"/>
    </row>
    <row r="4589" spans="2:5" x14ac:dyDescent="0.35">
      <c r="B4589" s="1"/>
    </row>
    <row r="4590" spans="2:5" x14ac:dyDescent="0.35">
      <c r="B4590" s="1"/>
      <c r="E4590" s="2"/>
    </row>
    <row r="4591" spans="2:5" x14ac:dyDescent="0.35">
      <c r="B4591" s="1"/>
      <c r="E4591" s="2"/>
    </row>
    <row r="4592" spans="2:5" x14ac:dyDescent="0.35">
      <c r="B4592" s="1"/>
    </row>
    <row r="4593" spans="2:5" x14ac:dyDescent="0.35">
      <c r="B4593" s="1"/>
      <c r="E4593" s="2"/>
    </row>
    <row r="4594" spans="2:5" x14ac:dyDescent="0.35">
      <c r="B4594" s="1"/>
      <c r="E4594" s="2"/>
    </row>
    <row r="4595" spans="2:5" x14ac:dyDescent="0.35">
      <c r="B4595" s="1"/>
      <c r="E4595" s="2"/>
    </row>
    <row r="4596" spans="2:5" x14ac:dyDescent="0.35">
      <c r="B4596" s="1"/>
      <c r="E4596" s="2"/>
    </row>
    <row r="4597" spans="2:5" x14ac:dyDescent="0.35">
      <c r="B4597" s="1"/>
      <c r="E4597" s="2"/>
    </row>
    <row r="4598" spans="2:5" x14ac:dyDescent="0.35">
      <c r="B4598" s="1"/>
    </row>
    <row r="4599" spans="2:5" x14ac:dyDescent="0.35">
      <c r="B4599" s="1"/>
    </row>
    <row r="4600" spans="2:5" x14ac:dyDescent="0.35">
      <c r="B4600" s="1"/>
      <c r="E4600" s="2"/>
    </row>
    <row r="4601" spans="2:5" x14ac:dyDescent="0.35">
      <c r="B4601" s="1"/>
    </row>
    <row r="4602" spans="2:5" x14ac:dyDescent="0.35">
      <c r="B4602" s="1"/>
      <c r="E4602" s="2"/>
    </row>
    <row r="4603" spans="2:5" x14ac:dyDescent="0.35">
      <c r="B4603" s="1"/>
    </row>
    <row r="4604" spans="2:5" x14ac:dyDescent="0.35">
      <c r="B4604" s="1"/>
    </row>
    <row r="4605" spans="2:5" x14ac:dyDescent="0.35">
      <c r="B4605" s="1"/>
    </row>
    <row r="4606" spans="2:5" x14ac:dyDescent="0.35">
      <c r="B4606" s="1"/>
    </row>
    <row r="4607" spans="2:5" x14ac:dyDescent="0.35">
      <c r="B4607" s="1"/>
      <c r="E4607" s="2"/>
    </row>
    <row r="4608" spans="2:5" x14ac:dyDescent="0.35">
      <c r="B4608" s="1"/>
    </row>
    <row r="4609" spans="2:5" x14ac:dyDescent="0.35">
      <c r="B4609" s="1"/>
      <c r="E4609" s="2"/>
    </row>
    <row r="4610" spans="2:5" x14ac:dyDescent="0.35">
      <c r="B4610" s="1"/>
      <c r="E4610" s="2"/>
    </row>
    <row r="4611" spans="2:5" x14ac:dyDescent="0.35">
      <c r="B4611" s="1"/>
      <c r="E4611" s="2"/>
    </row>
    <row r="4612" spans="2:5" x14ac:dyDescent="0.35">
      <c r="B4612" s="1"/>
    </row>
    <row r="4613" spans="2:5" x14ac:dyDescent="0.35">
      <c r="B4613" s="1"/>
    </row>
    <row r="4614" spans="2:5" x14ac:dyDescent="0.35">
      <c r="B4614" s="1"/>
    </row>
    <row r="4615" spans="2:5" x14ac:dyDescent="0.35">
      <c r="B4615" s="1"/>
    </row>
    <row r="4616" spans="2:5" x14ac:dyDescent="0.35">
      <c r="B4616" s="1"/>
    </row>
    <row r="4617" spans="2:5" x14ac:dyDescent="0.35">
      <c r="B4617" s="1"/>
      <c r="E4617" s="2"/>
    </row>
    <row r="4618" spans="2:5" x14ac:dyDescent="0.35">
      <c r="B4618" s="1"/>
      <c r="E4618" s="2"/>
    </row>
    <row r="4619" spans="2:5" x14ac:dyDescent="0.35">
      <c r="B4619" s="1"/>
    </row>
    <row r="4620" spans="2:5" x14ac:dyDescent="0.35">
      <c r="B4620" s="1"/>
      <c r="E4620" s="2"/>
    </row>
    <row r="4621" spans="2:5" x14ac:dyDescent="0.35">
      <c r="B4621" s="1"/>
    </row>
    <row r="4622" spans="2:5" x14ac:dyDescent="0.35">
      <c r="B4622" s="1"/>
      <c r="E4622" s="2"/>
    </row>
    <row r="4623" spans="2:5" x14ac:dyDescent="0.35">
      <c r="B4623" s="1"/>
      <c r="E4623" s="2"/>
    </row>
    <row r="4624" spans="2:5" x14ac:dyDescent="0.35">
      <c r="B4624" s="1"/>
    </row>
    <row r="4625" spans="2:5" x14ac:dyDescent="0.35">
      <c r="B4625" s="1"/>
    </row>
    <row r="4626" spans="2:5" x14ac:dyDescent="0.35">
      <c r="B4626" s="1"/>
    </row>
    <row r="4627" spans="2:5" x14ac:dyDescent="0.35">
      <c r="B4627" s="1"/>
      <c r="E4627" s="2"/>
    </row>
    <row r="4628" spans="2:5" x14ac:dyDescent="0.35">
      <c r="B4628" s="1"/>
    </row>
    <row r="4629" spans="2:5" x14ac:dyDescent="0.35">
      <c r="B4629" s="1"/>
      <c r="E4629" s="2"/>
    </row>
    <row r="4630" spans="2:5" x14ac:dyDescent="0.35">
      <c r="B4630" s="1"/>
    </row>
    <row r="4631" spans="2:5" x14ac:dyDescent="0.35">
      <c r="B4631" s="1"/>
      <c r="E4631" s="2"/>
    </row>
    <row r="4632" spans="2:5" x14ac:dyDescent="0.35">
      <c r="B4632" s="1"/>
    </row>
    <row r="4633" spans="2:5" x14ac:dyDescent="0.35">
      <c r="B4633" s="1"/>
      <c r="E4633" s="2"/>
    </row>
    <row r="4634" spans="2:5" x14ac:dyDescent="0.35">
      <c r="B4634" s="1"/>
      <c r="E4634" s="2"/>
    </row>
    <row r="4635" spans="2:5" x14ac:dyDescent="0.35">
      <c r="B4635" s="1"/>
      <c r="E4635" s="2"/>
    </row>
    <row r="4636" spans="2:5" x14ac:dyDescent="0.35">
      <c r="B4636" s="1"/>
    </row>
    <row r="4637" spans="2:5" x14ac:dyDescent="0.35">
      <c r="B4637" s="1"/>
    </row>
    <row r="4638" spans="2:5" x14ac:dyDescent="0.35">
      <c r="B4638" s="1"/>
    </row>
    <row r="4639" spans="2:5" x14ac:dyDescent="0.35">
      <c r="B4639" s="1"/>
      <c r="E4639" s="2"/>
    </row>
    <row r="4640" spans="2:5" x14ac:dyDescent="0.35">
      <c r="B4640" s="1"/>
    </row>
    <row r="4641" spans="2:5" x14ac:dyDescent="0.35">
      <c r="B4641" s="1"/>
      <c r="E4641" s="2"/>
    </row>
    <row r="4642" spans="2:5" x14ac:dyDescent="0.35">
      <c r="B4642" s="1"/>
    </row>
    <row r="4643" spans="2:5" x14ac:dyDescent="0.35">
      <c r="B4643" s="1"/>
    </row>
    <row r="4644" spans="2:5" x14ac:dyDescent="0.35">
      <c r="B4644" s="1"/>
      <c r="E4644" s="2"/>
    </row>
    <row r="4645" spans="2:5" x14ac:dyDescent="0.35">
      <c r="B4645" s="1"/>
    </row>
    <row r="4646" spans="2:5" x14ac:dyDescent="0.35">
      <c r="B4646" s="1"/>
      <c r="E4646" s="2"/>
    </row>
    <row r="4647" spans="2:5" x14ac:dyDescent="0.35">
      <c r="B4647" s="1"/>
      <c r="E4647" s="2"/>
    </row>
    <row r="4648" spans="2:5" x14ac:dyDescent="0.35">
      <c r="B4648" s="1"/>
      <c r="E4648" s="2"/>
    </row>
    <row r="4649" spans="2:5" x14ac:dyDescent="0.35">
      <c r="B4649" s="1"/>
    </row>
    <row r="4650" spans="2:5" x14ac:dyDescent="0.35">
      <c r="B4650" s="1"/>
    </row>
    <row r="4651" spans="2:5" x14ac:dyDescent="0.35">
      <c r="B4651" s="1"/>
      <c r="E4651" s="2"/>
    </row>
    <row r="4652" spans="2:5" x14ac:dyDescent="0.35">
      <c r="B4652" s="1"/>
      <c r="E4652" s="2"/>
    </row>
    <row r="4653" spans="2:5" x14ac:dyDescent="0.35">
      <c r="B4653" s="1"/>
      <c r="E4653" s="2"/>
    </row>
    <row r="4654" spans="2:5" x14ac:dyDescent="0.35">
      <c r="B4654" s="1"/>
    </row>
    <row r="4655" spans="2:5" x14ac:dyDescent="0.35">
      <c r="B4655" s="1"/>
      <c r="E4655" s="2"/>
    </row>
    <row r="4656" spans="2:5" x14ac:dyDescent="0.35">
      <c r="B4656" s="1"/>
      <c r="E4656" s="2"/>
    </row>
    <row r="4657" spans="2:5" x14ac:dyDescent="0.35">
      <c r="B4657" s="1"/>
      <c r="E4657" s="2"/>
    </row>
    <row r="4658" spans="2:5" x14ac:dyDescent="0.35">
      <c r="B4658" s="1"/>
      <c r="E4658" s="2"/>
    </row>
    <row r="4659" spans="2:5" x14ac:dyDescent="0.35">
      <c r="B4659" s="1"/>
    </row>
    <row r="4660" spans="2:5" x14ac:dyDescent="0.35">
      <c r="B4660" s="1"/>
      <c r="E4660" s="2"/>
    </row>
    <row r="4661" spans="2:5" x14ac:dyDescent="0.35">
      <c r="B4661" s="1"/>
      <c r="E4661" s="2"/>
    </row>
    <row r="4662" spans="2:5" x14ac:dyDescent="0.35">
      <c r="B4662" s="1"/>
      <c r="E4662" s="2"/>
    </row>
    <row r="4663" spans="2:5" x14ac:dyDescent="0.35">
      <c r="B4663" s="1"/>
      <c r="E4663" s="2"/>
    </row>
    <row r="4664" spans="2:5" x14ac:dyDescent="0.35">
      <c r="B4664" s="1"/>
    </row>
    <row r="4665" spans="2:5" x14ac:dyDescent="0.35">
      <c r="B4665" s="1"/>
    </row>
    <row r="4666" spans="2:5" x14ac:dyDescent="0.35">
      <c r="B4666" s="1"/>
      <c r="E4666" s="2"/>
    </row>
    <row r="4667" spans="2:5" x14ac:dyDescent="0.35">
      <c r="B4667" s="1"/>
    </row>
    <row r="4668" spans="2:5" x14ac:dyDescent="0.35">
      <c r="B4668" s="1"/>
      <c r="E4668" s="2"/>
    </row>
    <row r="4669" spans="2:5" x14ac:dyDescent="0.35">
      <c r="B4669" s="1"/>
    </row>
    <row r="4670" spans="2:5" x14ac:dyDescent="0.35">
      <c r="B4670" s="1"/>
      <c r="E4670" s="2"/>
    </row>
    <row r="4671" spans="2:5" x14ac:dyDescent="0.35">
      <c r="B4671" s="1"/>
    </row>
    <row r="4672" spans="2:5" x14ac:dyDescent="0.35">
      <c r="B4672" s="1"/>
    </row>
    <row r="4673" spans="2:5" x14ac:dyDescent="0.35">
      <c r="B4673" s="1"/>
    </row>
    <row r="4674" spans="2:5" x14ac:dyDescent="0.35">
      <c r="B4674" s="1"/>
      <c r="E4674" s="2"/>
    </row>
    <row r="4675" spans="2:5" x14ac:dyDescent="0.35">
      <c r="B4675" s="1"/>
      <c r="E4675" s="2"/>
    </row>
    <row r="4676" spans="2:5" x14ac:dyDescent="0.35">
      <c r="B4676" s="1"/>
    </row>
    <row r="4677" spans="2:5" x14ac:dyDescent="0.35">
      <c r="B4677" s="1"/>
      <c r="E4677" s="2"/>
    </row>
    <row r="4678" spans="2:5" x14ac:dyDescent="0.35">
      <c r="B4678" s="1"/>
    </row>
    <row r="4679" spans="2:5" x14ac:dyDescent="0.35">
      <c r="B4679" s="1"/>
    </row>
    <row r="4680" spans="2:5" x14ac:dyDescent="0.35">
      <c r="B4680" s="1"/>
    </row>
    <row r="4681" spans="2:5" x14ac:dyDescent="0.35">
      <c r="B4681" s="1"/>
      <c r="E4681" s="2"/>
    </row>
    <row r="4682" spans="2:5" x14ac:dyDescent="0.35">
      <c r="B4682" s="1"/>
      <c r="E4682" s="2"/>
    </row>
    <row r="4683" spans="2:5" x14ac:dyDescent="0.35">
      <c r="B4683" s="1"/>
      <c r="E4683" s="2"/>
    </row>
    <row r="4684" spans="2:5" x14ac:dyDescent="0.35">
      <c r="B4684" s="1"/>
      <c r="E4684" s="2"/>
    </row>
    <row r="4685" spans="2:5" x14ac:dyDescent="0.35">
      <c r="B4685" s="1"/>
    </row>
    <row r="4686" spans="2:5" x14ac:dyDescent="0.35">
      <c r="B4686" s="1"/>
    </row>
    <row r="4687" spans="2:5" x14ac:dyDescent="0.35">
      <c r="B4687" s="1"/>
    </row>
    <row r="4688" spans="2:5" x14ac:dyDescent="0.35">
      <c r="B4688" s="1"/>
    </row>
    <row r="4689" spans="2:5" x14ac:dyDescent="0.35">
      <c r="B4689" s="1"/>
      <c r="E4689" s="2"/>
    </row>
    <row r="4690" spans="2:5" x14ac:dyDescent="0.35">
      <c r="B4690" s="1"/>
    </row>
    <row r="4691" spans="2:5" x14ac:dyDescent="0.35">
      <c r="B4691" s="1"/>
    </row>
    <row r="4692" spans="2:5" x14ac:dyDescent="0.35">
      <c r="B4692" s="1"/>
      <c r="E4692" s="2"/>
    </row>
    <row r="4693" spans="2:5" x14ac:dyDescent="0.35">
      <c r="B4693" s="1"/>
    </row>
    <row r="4694" spans="2:5" x14ac:dyDescent="0.35">
      <c r="B4694" s="1"/>
      <c r="E4694" s="2"/>
    </row>
    <row r="4695" spans="2:5" x14ac:dyDescent="0.35">
      <c r="B4695" s="1"/>
      <c r="E4695" s="2"/>
    </row>
    <row r="4696" spans="2:5" x14ac:dyDescent="0.35">
      <c r="B4696" s="1"/>
      <c r="E4696" s="2"/>
    </row>
    <row r="4697" spans="2:5" x14ac:dyDescent="0.35">
      <c r="B4697" s="1"/>
    </row>
    <row r="4698" spans="2:5" x14ac:dyDescent="0.35">
      <c r="B4698" s="1"/>
    </row>
    <row r="4699" spans="2:5" x14ac:dyDescent="0.35">
      <c r="B4699" s="1"/>
      <c r="E4699" s="2"/>
    </row>
    <row r="4700" spans="2:5" x14ac:dyDescent="0.35">
      <c r="B4700" s="1"/>
    </row>
    <row r="4701" spans="2:5" x14ac:dyDescent="0.35">
      <c r="B4701" s="1"/>
      <c r="E4701" s="2"/>
    </row>
    <row r="4702" spans="2:5" x14ac:dyDescent="0.35">
      <c r="B4702" s="1"/>
    </row>
    <row r="4703" spans="2:5" x14ac:dyDescent="0.35">
      <c r="B4703" s="1"/>
      <c r="E4703" s="2"/>
    </row>
    <row r="4704" spans="2:5" x14ac:dyDescent="0.35">
      <c r="B4704" s="1"/>
      <c r="E4704" s="2"/>
    </row>
    <row r="4705" spans="2:5" x14ac:dyDescent="0.35">
      <c r="B4705" s="1"/>
      <c r="E4705" s="2"/>
    </row>
    <row r="4706" spans="2:5" x14ac:dyDescent="0.35">
      <c r="B4706" s="1"/>
      <c r="E4706" s="2"/>
    </row>
    <row r="4707" spans="2:5" x14ac:dyDescent="0.35">
      <c r="B4707" s="1"/>
      <c r="E4707" s="2"/>
    </row>
    <row r="4708" spans="2:5" x14ac:dyDescent="0.35">
      <c r="B4708" s="1"/>
      <c r="E4708" s="2"/>
    </row>
    <row r="4709" spans="2:5" x14ac:dyDescent="0.35">
      <c r="B4709" s="1"/>
      <c r="E4709" s="2"/>
    </row>
    <row r="4710" spans="2:5" x14ac:dyDescent="0.35">
      <c r="B4710" s="1"/>
      <c r="E4710" s="2"/>
    </row>
    <row r="4711" spans="2:5" x14ac:dyDescent="0.35">
      <c r="B4711" s="1"/>
    </row>
    <row r="4712" spans="2:5" x14ac:dyDescent="0.35">
      <c r="B4712" s="1"/>
    </row>
    <row r="4713" spans="2:5" x14ac:dyDescent="0.35">
      <c r="B4713" s="1"/>
      <c r="E4713" s="2"/>
    </row>
    <row r="4714" spans="2:5" x14ac:dyDescent="0.35">
      <c r="B4714" s="1"/>
      <c r="E4714" s="2"/>
    </row>
    <row r="4715" spans="2:5" x14ac:dyDescent="0.35">
      <c r="B4715" s="1"/>
    </row>
    <row r="4716" spans="2:5" x14ac:dyDescent="0.35">
      <c r="B4716" s="1"/>
    </row>
    <row r="4717" spans="2:5" x14ac:dyDescent="0.35">
      <c r="B4717" s="1"/>
      <c r="E4717" s="2"/>
    </row>
    <row r="4718" spans="2:5" x14ac:dyDescent="0.35">
      <c r="B4718" s="1"/>
    </row>
    <row r="4719" spans="2:5" x14ac:dyDescent="0.35">
      <c r="B4719" s="1"/>
      <c r="E4719" s="2"/>
    </row>
    <row r="4720" spans="2:5" x14ac:dyDescent="0.35">
      <c r="B4720" s="1"/>
    </row>
    <row r="4721" spans="2:5" x14ac:dyDescent="0.35">
      <c r="B4721" s="1"/>
      <c r="E4721" s="2"/>
    </row>
    <row r="4722" spans="2:5" x14ac:dyDescent="0.35">
      <c r="B4722" s="1"/>
      <c r="E4722" s="2"/>
    </row>
    <row r="4723" spans="2:5" x14ac:dyDescent="0.35">
      <c r="B4723" s="1"/>
      <c r="E4723" s="2"/>
    </row>
    <row r="4724" spans="2:5" x14ac:dyDescent="0.35">
      <c r="B4724" s="1"/>
    </row>
    <row r="4725" spans="2:5" x14ac:dyDescent="0.35">
      <c r="B4725" s="1"/>
    </row>
    <row r="4726" spans="2:5" x14ac:dyDescent="0.35">
      <c r="B4726" s="1"/>
    </row>
    <row r="4727" spans="2:5" x14ac:dyDescent="0.35">
      <c r="B4727" s="1"/>
    </row>
    <row r="4728" spans="2:5" x14ac:dyDescent="0.35">
      <c r="B4728" s="1"/>
    </row>
    <row r="4729" spans="2:5" x14ac:dyDescent="0.35">
      <c r="B4729" s="1"/>
      <c r="E4729" s="2"/>
    </row>
    <row r="4730" spans="2:5" x14ac:dyDescent="0.35">
      <c r="B4730" s="1"/>
    </row>
    <row r="4731" spans="2:5" x14ac:dyDescent="0.35">
      <c r="B4731" s="1"/>
      <c r="E4731" s="2"/>
    </row>
    <row r="4732" spans="2:5" x14ac:dyDescent="0.35">
      <c r="B4732" s="1"/>
      <c r="E4732" s="2"/>
    </row>
    <row r="4733" spans="2:5" x14ac:dyDescent="0.35">
      <c r="B4733" s="1"/>
    </row>
    <row r="4734" spans="2:5" x14ac:dyDescent="0.35">
      <c r="B4734" s="1"/>
      <c r="E4734" s="2"/>
    </row>
    <row r="4735" spans="2:5" x14ac:dyDescent="0.35">
      <c r="B4735" s="1"/>
      <c r="E4735" s="2"/>
    </row>
    <row r="4736" spans="2:5" x14ac:dyDescent="0.35">
      <c r="B4736" s="1"/>
    </row>
    <row r="4737" spans="2:5" x14ac:dyDescent="0.35">
      <c r="B4737" s="1"/>
      <c r="E4737" s="2"/>
    </row>
    <row r="4738" spans="2:5" x14ac:dyDescent="0.35">
      <c r="B4738" s="1"/>
      <c r="E4738" s="2"/>
    </row>
    <row r="4739" spans="2:5" x14ac:dyDescent="0.35">
      <c r="B4739" s="1"/>
    </row>
    <row r="4740" spans="2:5" x14ac:dyDescent="0.35">
      <c r="B4740" s="1"/>
      <c r="E4740" s="2"/>
    </row>
    <row r="4741" spans="2:5" x14ac:dyDescent="0.35">
      <c r="B4741" s="1"/>
    </row>
    <row r="4742" spans="2:5" x14ac:dyDescent="0.35">
      <c r="B4742" s="1"/>
      <c r="E4742" s="2"/>
    </row>
    <row r="4743" spans="2:5" x14ac:dyDescent="0.35">
      <c r="B4743" s="1"/>
      <c r="E4743" s="2"/>
    </row>
    <row r="4744" spans="2:5" x14ac:dyDescent="0.35">
      <c r="B4744" s="1"/>
      <c r="E4744" s="2"/>
    </row>
    <row r="4745" spans="2:5" x14ac:dyDescent="0.35">
      <c r="B4745" s="1"/>
      <c r="E4745" s="2"/>
    </row>
    <row r="4746" spans="2:5" x14ac:dyDescent="0.35">
      <c r="B4746" s="1"/>
      <c r="E4746" s="2"/>
    </row>
    <row r="4747" spans="2:5" x14ac:dyDescent="0.35">
      <c r="B4747" s="1"/>
    </row>
    <row r="4748" spans="2:5" x14ac:dyDescent="0.35">
      <c r="B4748" s="1"/>
      <c r="E4748" s="2"/>
    </row>
    <row r="4749" spans="2:5" x14ac:dyDescent="0.35">
      <c r="B4749" s="1"/>
      <c r="E4749" s="2"/>
    </row>
    <row r="4750" spans="2:5" x14ac:dyDescent="0.35">
      <c r="B4750" s="1"/>
      <c r="E4750" s="2"/>
    </row>
    <row r="4751" spans="2:5" x14ac:dyDescent="0.35">
      <c r="B4751" s="1"/>
      <c r="E4751" s="2"/>
    </row>
    <row r="4752" spans="2:5" x14ac:dyDescent="0.35">
      <c r="B4752" s="1"/>
    </row>
    <row r="4753" spans="2:5" x14ac:dyDescent="0.35">
      <c r="B4753" s="1"/>
    </row>
    <row r="4754" spans="2:5" x14ac:dyDescent="0.35">
      <c r="B4754" s="1"/>
    </row>
    <row r="4755" spans="2:5" x14ac:dyDescent="0.35">
      <c r="B4755" s="1"/>
    </row>
    <row r="4756" spans="2:5" x14ac:dyDescent="0.35">
      <c r="B4756" s="1"/>
    </row>
    <row r="4757" spans="2:5" x14ac:dyDescent="0.35">
      <c r="B4757" s="1"/>
    </row>
    <row r="4758" spans="2:5" x14ac:dyDescent="0.35">
      <c r="B4758" s="1"/>
      <c r="E4758" s="2"/>
    </row>
    <row r="4759" spans="2:5" x14ac:dyDescent="0.35">
      <c r="B4759" s="1"/>
      <c r="E4759" s="2"/>
    </row>
    <row r="4760" spans="2:5" x14ac:dyDescent="0.35">
      <c r="B4760" s="1"/>
    </row>
    <row r="4761" spans="2:5" x14ac:dyDescent="0.35">
      <c r="B4761" s="1"/>
    </row>
    <row r="4762" spans="2:5" x14ac:dyDescent="0.35">
      <c r="B4762" s="1"/>
      <c r="E4762" s="2"/>
    </row>
    <row r="4763" spans="2:5" x14ac:dyDescent="0.35">
      <c r="B4763" s="1"/>
      <c r="E4763" s="2"/>
    </row>
    <row r="4764" spans="2:5" x14ac:dyDescent="0.35">
      <c r="B4764" s="1"/>
    </row>
    <row r="4765" spans="2:5" x14ac:dyDescent="0.35">
      <c r="B4765" s="1"/>
    </row>
    <row r="4766" spans="2:5" x14ac:dyDescent="0.35">
      <c r="B4766" s="1"/>
    </row>
    <row r="4767" spans="2:5" x14ac:dyDescent="0.35">
      <c r="B4767" s="1"/>
      <c r="E4767" s="2"/>
    </row>
    <row r="4768" spans="2:5" x14ac:dyDescent="0.35">
      <c r="B4768" s="1"/>
    </row>
    <row r="4769" spans="2:5" x14ac:dyDescent="0.35">
      <c r="B4769" s="1"/>
    </row>
    <row r="4770" spans="2:5" x14ac:dyDescent="0.35">
      <c r="B4770" s="1"/>
    </row>
    <row r="4771" spans="2:5" x14ac:dyDescent="0.35">
      <c r="B4771" s="1"/>
      <c r="E4771" s="2"/>
    </row>
    <row r="4772" spans="2:5" x14ac:dyDescent="0.35">
      <c r="B4772" s="1"/>
      <c r="E4772" s="2"/>
    </row>
    <row r="4773" spans="2:5" x14ac:dyDescent="0.35">
      <c r="B4773" s="1"/>
    </row>
    <row r="4774" spans="2:5" x14ac:dyDescent="0.35">
      <c r="B4774" s="1"/>
    </row>
    <row r="4775" spans="2:5" x14ac:dyDescent="0.35">
      <c r="B4775" s="1"/>
      <c r="E4775" s="2"/>
    </row>
    <row r="4776" spans="2:5" x14ac:dyDescent="0.35">
      <c r="B4776" s="1"/>
      <c r="E4776" s="2"/>
    </row>
    <row r="4777" spans="2:5" x14ac:dyDescent="0.35">
      <c r="B4777" s="1"/>
      <c r="E4777" s="2"/>
    </row>
    <row r="4778" spans="2:5" x14ac:dyDescent="0.35">
      <c r="B4778" s="1"/>
      <c r="E4778" s="2"/>
    </row>
    <row r="4779" spans="2:5" x14ac:dyDescent="0.35">
      <c r="B4779" s="1"/>
    </row>
    <row r="4780" spans="2:5" x14ac:dyDescent="0.35">
      <c r="B4780" s="1"/>
      <c r="E4780" s="2"/>
    </row>
    <row r="4781" spans="2:5" x14ac:dyDescent="0.35">
      <c r="B4781" s="1"/>
    </row>
    <row r="4782" spans="2:5" x14ac:dyDescent="0.35">
      <c r="B4782" s="1"/>
      <c r="E4782" s="2"/>
    </row>
    <row r="4783" spans="2:5" x14ac:dyDescent="0.35">
      <c r="B4783" s="1"/>
    </row>
    <row r="4784" spans="2:5" x14ac:dyDescent="0.35">
      <c r="B4784" s="1"/>
      <c r="E4784" s="2"/>
    </row>
    <row r="4785" spans="2:5" x14ac:dyDescent="0.35">
      <c r="B4785" s="1"/>
      <c r="E4785" s="2"/>
    </row>
    <row r="4786" spans="2:5" x14ac:dyDescent="0.35">
      <c r="B4786" s="1"/>
    </row>
    <row r="4787" spans="2:5" x14ac:dyDescent="0.35">
      <c r="B4787" s="1"/>
    </row>
    <row r="4788" spans="2:5" x14ac:dyDescent="0.35">
      <c r="B4788" s="1"/>
    </row>
    <row r="4789" spans="2:5" x14ac:dyDescent="0.35">
      <c r="B4789" s="1"/>
    </row>
    <row r="4790" spans="2:5" x14ac:dyDescent="0.35">
      <c r="B4790" s="1"/>
    </row>
    <row r="4791" spans="2:5" x14ac:dyDescent="0.35">
      <c r="B4791" s="1"/>
      <c r="E4791" s="2"/>
    </row>
    <row r="4792" spans="2:5" x14ac:dyDescent="0.35">
      <c r="B4792" s="1"/>
    </row>
    <row r="4793" spans="2:5" x14ac:dyDescent="0.35">
      <c r="B4793" s="1"/>
    </row>
    <row r="4794" spans="2:5" x14ac:dyDescent="0.35">
      <c r="B4794" s="1"/>
      <c r="E4794" s="2"/>
    </row>
    <row r="4795" spans="2:5" x14ac:dyDescent="0.35">
      <c r="B4795" s="1"/>
    </row>
    <row r="4796" spans="2:5" x14ac:dyDescent="0.35">
      <c r="B4796" s="1"/>
    </row>
    <row r="4797" spans="2:5" x14ac:dyDescent="0.35">
      <c r="B4797" s="1"/>
      <c r="E4797" s="2"/>
    </row>
    <row r="4798" spans="2:5" x14ac:dyDescent="0.35">
      <c r="B4798" s="1"/>
      <c r="E4798" s="2"/>
    </row>
    <row r="4799" spans="2:5" x14ac:dyDescent="0.35">
      <c r="B4799" s="1"/>
      <c r="E4799" s="2"/>
    </row>
    <row r="4800" spans="2:5" x14ac:dyDescent="0.35">
      <c r="B4800" s="1"/>
    </row>
    <row r="4801" spans="2:5" x14ac:dyDescent="0.35">
      <c r="B4801" s="1"/>
    </row>
    <row r="4802" spans="2:5" x14ac:dyDescent="0.35">
      <c r="B4802" s="1"/>
    </row>
    <row r="4803" spans="2:5" x14ac:dyDescent="0.35">
      <c r="B4803" s="1"/>
    </row>
    <row r="4804" spans="2:5" x14ac:dyDescent="0.35">
      <c r="B4804" s="1"/>
    </row>
    <row r="4805" spans="2:5" x14ac:dyDescent="0.35">
      <c r="B4805" s="1"/>
      <c r="E4805" s="2"/>
    </row>
    <row r="4806" spans="2:5" x14ac:dyDescent="0.35">
      <c r="B4806" s="1"/>
      <c r="E4806" s="2"/>
    </row>
    <row r="4807" spans="2:5" x14ac:dyDescent="0.35">
      <c r="B4807" s="1"/>
      <c r="E4807" s="2"/>
    </row>
    <row r="4808" spans="2:5" x14ac:dyDescent="0.35">
      <c r="B4808" s="1"/>
      <c r="E4808" s="2"/>
    </row>
    <row r="4809" spans="2:5" x14ac:dyDescent="0.35">
      <c r="B4809" s="1"/>
      <c r="E4809" s="2"/>
    </row>
    <row r="4810" spans="2:5" x14ac:dyDescent="0.35">
      <c r="B4810" s="1"/>
      <c r="E4810" s="2"/>
    </row>
    <row r="4811" spans="2:5" x14ac:dyDescent="0.35">
      <c r="B4811" s="1"/>
    </row>
    <row r="4812" spans="2:5" x14ac:dyDescent="0.35">
      <c r="B4812" s="1"/>
    </row>
    <row r="4813" spans="2:5" x14ac:dyDescent="0.35">
      <c r="B4813" s="1"/>
    </row>
    <row r="4814" spans="2:5" x14ac:dyDescent="0.35">
      <c r="B4814" s="1"/>
    </row>
    <row r="4815" spans="2:5" x14ac:dyDescent="0.35">
      <c r="B4815" s="1"/>
      <c r="E4815" s="2"/>
    </row>
    <row r="4816" spans="2:5" x14ac:dyDescent="0.35">
      <c r="B4816" s="1"/>
    </row>
    <row r="4817" spans="2:5" x14ac:dyDescent="0.35">
      <c r="B4817" s="1"/>
      <c r="E4817" s="2"/>
    </row>
    <row r="4818" spans="2:5" x14ac:dyDescent="0.35">
      <c r="B4818" s="1"/>
    </row>
    <row r="4819" spans="2:5" x14ac:dyDescent="0.35">
      <c r="B4819" s="1"/>
    </row>
    <row r="4820" spans="2:5" x14ac:dyDescent="0.35">
      <c r="B4820" s="1"/>
    </row>
    <row r="4821" spans="2:5" x14ac:dyDescent="0.35">
      <c r="B4821" s="1"/>
    </row>
    <row r="4822" spans="2:5" x14ac:dyDescent="0.35">
      <c r="B4822" s="1"/>
      <c r="E4822" s="2"/>
    </row>
    <row r="4823" spans="2:5" x14ac:dyDescent="0.35">
      <c r="B4823" s="1"/>
    </row>
    <row r="4824" spans="2:5" x14ac:dyDescent="0.35">
      <c r="B4824" s="1"/>
      <c r="E4824" s="2"/>
    </row>
    <row r="4825" spans="2:5" x14ac:dyDescent="0.35">
      <c r="B4825" s="1"/>
      <c r="E4825" s="2"/>
    </row>
    <row r="4826" spans="2:5" x14ac:dyDescent="0.35">
      <c r="B4826" s="1"/>
      <c r="E4826" s="2"/>
    </row>
    <row r="4827" spans="2:5" x14ac:dyDescent="0.35">
      <c r="B4827" s="1"/>
      <c r="E4827" s="2"/>
    </row>
    <row r="4828" spans="2:5" x14ac:dyDescent="0.35">
      <c r="B4828" s="1"/>
    </row>
    <row r="4829" spans="2:5" x14ac:dyDescent="0.35">
      <c r="B4829" s="1"/>
      <c r="E4829" s="2"/>
    </row>
    <row r="4830" spans="2:5" x14ac:dyDescent="0.35">
      <c r="B4830" s="1"/>
      <c r="E4830" s="2"/>
    </row>
    <row r="4831" spans="2:5" x14ac:dyDescent="0.35">
      <c r="B4831" s="1"/>
      <c r="E4831" s="2"/>
    </row>
    <row r="4832" spans="2:5" x14ac:dyDescent="0.35">
      <c r="B4832" s="1"/>
      <c r="E4832" s="2"/>
    </row>
    <row r="4833" spans="2:5" x14ac:dyDescent="0.35">
      <c r="B4833" s="1"/>
      <c r="E4833" s="2"/>
    </row>
    <row r="4834" spans="2:5" x14ac:dyDescent="0.35">
      <c r="B4834" s="1"/>
      <c r="E4834" s="2"/>
    </row>
    <row r="4835" spans="2:5" x14ac:dyDescent="0.35">
      <c r="B4835" s="1"/>
    </row>
    <row r="4836" spans="2:5" x14ac:dyDescent="0.35">
      <c r="B4836" s="1"/>
    </row>
    <row r="4837" spans="2:5" x14ac:dyDescent="0.35">
      <c r="B4837" s="1"/>
      <c r="E4837" s="2"/>
    </row>
    <row r="4838" spans="2:5" x14ac:dyDescent="0.35">
      <c r="B4838" s="1"/>
    </row>
    <row r="4839" spans="2:5" x14ac:dyDescent="0.35">
      <c r="B4839" s="1"/>
      <c r="E4839" s="2"/>
    </row>
    <row r="4840" spans="2:5" x14ac:dyDescent="0.35">
      <c r="B4840" s="1"/>
      <c r="E4840" s="2"/>
    </row>
    <row r="4841" spans="2:5" x14ac:dyDescent="0.35">
      <c r="B4841" s="1"/>
      <c r="E4841" s="2"/>
    </row>
    <row r="4842" spans="2:5" x14ac:dyDescent="0.35">
      <c r="B4842" s="1"/>
    </row>
    <row r="4843" spans="2:5" x14ac:dyDescent="0.35">
      <c r="B4843" s="1"/>
    </row>
    <row r="4844" spans="2:5" x14ac:dyDescent="0.35">
      <c r="B4844" s="1"/>
      <c r="E4844" s="2"/>
    </row>
    <row r="4845" spans="2:5" x14ac:dyDescent="0.35">
      <c r="B4845" s="1"/>
    </row>
    <row r="4846" spans="2:5" x14ac:dyDescent="0.35">
      <c r="B4846" s="1"/>
    </row>
    <row r="4847" spans="2:5" x14ac:dyDescent="0.35">
      <c r="B4847" s="1"/>
      <c r="E4847" s="2"/>
    </row>
    <row r="4848" spans="2:5" x14ac:dyDescent="0.35">
      <c r="B4848" s="1"/>
      <c r="E4848" s="2"/>
    </row>
    <row r="4849" spans="2:5" x14ac:dyDescent="0.35">
      <c r="B4849" s="1"/>
    </row>
    <row r="4850" spans="2:5" x14ac:dyDescent="0.35">
      <c r="B4850" s="1"/>
      <c r="E4850" s="2"/>
    </row>
    <row r="4851" spans="2:5" x14ac:dyDescent="0.35">
      <c r="B4851" s="1"/>
      <c r="E4851" s="2"/>
    </row>
    <row r="4852" spans="2:5" x14ac:dyDescent="0.35">
      <c r="B4852" s="1"/>
    </row>
    <row r="4853" spans="2:5" x14ac:dyDescent="0.35">
      <c r="B4853" s="1"/>
    </row>
    <row r="4854" spans="2:5" x14ac:dyDescent="0.35">
      <c r="B4854" s="1"/>
      <c r="E4854" s="2"/>
    </row>
    <row r="4855" spans="2:5" x14ac:dyDescent="0.35">
      <c r="B4855" s="1"/>
    </row>
    <row r="4856" spans="2:5" x14ac:dyDescent="0.35">
      <c r="B4856" s="1"/>
    </row>
    <row r="4857" spans="2:5" x14ac:dyDescent="0.35">
      <c r="B4857" s="1"/>
    </row>
    <row r="4858" spans="2:5" x14ac:dyDescent="0.35">
      <c r="B4858" s="1"/>
    </row>
    <row r="4859" spans="2:5" x14ac:dyDescent="0.35">
      <c r="B4859" s="1"/>
      <c r="E4859" s="2"/>
    </row>
    <row r="4860" spans="2:5" x14ac:dyDescent="0.35">
      <c r="B4860" s="1"/>
    </row>
    <row r="4861" spans="2:5" x14ac:dyDescent="0.35">
      <c r="B4861" s="1"/>
      <c r="E4861" s="2"/>
    </row>
    <row r="4862" spans="2:5" x14ac:dyDescent="0.35">
      <c r="B4862" s="1"/>
    </row>
    <row r="4863" spans="2:5" x14ac:dyDescent="0.35">
      <c r="B4863" s="1"/>
      <c r="E4863" s="2"/>
    </row>
    <row r="4864" spans="2:5" x14ac:dyDescent="0.35">
      <c r="B4864" s="1"/>
    </row>
    <row r="4865" spans="2:5" x14ac:dyDescent="0.35">
      <c r="B4865" s="1"/>
      <c r="E4865" s="2"/>
    </row>
    <row r="4866" spans="2:5" x14ac:dyDescent="0.35">
      <c r="B4866" s="1"/>
      <c r="E4866" s="2"/>
    </row>
    <row r="4867" spans="2:5" x14ac:dyDescent="0.35">
      <c r="B4867" s="1"/>
      <c r="E4867" s="2"/>
    </row>
    <row r="4868" spans="2:5" x14ac:dyDescent="0.35">
      <c r="B4868" s="1"/>
    </row>
    <row r="4869" spans="2:5" x14ac:dyDescent="0.35">
      <c r="B4869" s="1"/>
      <c r="E4869" s="2"/>
    </row>
    <row r="4870" spans="2:5" x14ac:dyDescent="0.35">
      <c r="B4870" s="1"/>
    </row>
    <row r="4871" spans="2:5" x14ac:dyDescent="0.35">
      <c r="B4871" s="1"/>
      <c r="E4871" s="2"/>
    </row>
    <row r="4872" spans="2:5" x14ac:dyDescent="0.35">
      <c r="B4872" s="1"/>
    </row>
    <row r="4873" spans="2:5" x14ac:dyDescent="0.35">
      <c r="B4873" s="1"/>
      <c r="E4873" s="2"/>
    </row>
    <row r="4874" spans="2:5" x14ac:dyDescent="0.35">
      <c r="B4874" s="1"/>
      <c r="E4874" s="2"/>
    </row>
    <row r="4875" spans="2:5" x14ac:dyDescent="0.35">
      <c r="B4875" s="1"/>
      <c r="E4875" s="2"/>
    </row>
    <row r="4876" spans="2:5" x14ac:dyDescent="0.35">
      <c r="B4876" s="1"/>
      <c r="E4876" s="2"/>
    </row>
    <row r="4877" spans="2:5" x14ac:dyDescent="0.35">
      <c r="B4877" s="1"/>
      <c r="E4877" s="2"/>
    </row>
    <row r="4878" spans="2:5" x14ac:dyDescent="0.35">
      <c r="B4878" s="1"/>
    </row>
    <row r="4879" spans="2:5" x14ac:dyDescent="0.35">
      <c r="B4879" s="1"/>
      <c r="E4879" s="2"/>
    </row>
    <row r="4880" spans="2:5" x14ac:dyDescent="0.35">
      <c r="B4880" s="1"/>
    </row>
    <row r="4881" spans="2:5" x14ac:dyDescent="0.35">
      <c r="B4881" s="1"/>
    </row>
    <row r="4882" spans="2:5" x14ac:dyDescent="0.35">
      <c r="B4882" s="1"/>
      <c r="E4882" s="2"/>
    </row>
    <row r="4883" spans="2:5" x14ac:dyDescent="0.35">
      <c r="B4883" s="1"/>
    </row>
    <row r="4884" spans="2:5" x14ac:dyDescent="0.35">
      <c r="B4884" s="1"/>
    </row>
    <row r="4885" spans="2:5" x14ac:dyDescent="0.35">
      <c r="B4885" s="1"/>
      <c r="E4885" s="2"/>
    </row>
    <row r="4886" spans="2:5" x14ac:dyDescent="0.35">
      <c r="B4886" s="1"/>
      <c r="E4886" s="2"/>
    </row>
    <row r="4887" spans="2:5" x14ac:dyDescent="0.35">
      <c r="B4887" s="1"/>
      <c r="E4887" s="2"/>
    </row>
    <row r="4888" spans="2:5" x14ac:dyDescent="0.35">
      <c r="B4888" s="1"/>
    </row>
    <row r="4889" spans="2:5" x14ac:dyDescent="0.35">
      <c r="B4889" s="1"/>
    </row>
    <row r="4890" spans="2:5" x14ac:dyDescent="0.35">
      <c r="B4890" s="1"/>
    </row>
    <row r="4891" spans="2:5" x14ac:dyDescent="0.35">
      <c r="B4891" s="1"/>
      <c r="E4891" s="2"/>
    </row>
    <row r="4892" spans="2:5" x14ac:dyDescent="0.35">
      <c r="B4892" s="1"/>
    </row>
    <row r="4893" spans="2:5" x14ac:dyDescent="0.35">
      <c r="B4893" s="1"/>
      <c r="E4893" s="2"/>
    </row>
    <row r="4894" spans="2:5" x14ac:dyDescent="0.35">
      <c r="B4894" s="1"/>
      <c r="E4894" s="2"/>
    </row>
    <row r="4895" spans="2:5" x14ac:dyDescent="0.35">
      <c r="B4895" s="1"/>
      <c r="E4895" s="2"/>
    </row>
    <row r="4896" spans="2:5" x14ac:dyDescent="0.35">
      <c r="B4896" s="1"/>
      <c r="E4896" s="2"/>
    </row>
    <row r="4897" spans="2:5" x14ac:dyDescent="0.35">
      <c r="B4897" s="1"/>
      <c r="E4897" s="2"/>
    </row>
    <row r="4898" spans="2:5" x14ac:dyDescent="0.35">
      <c r="B4898" s="1"/>
      <c r="E4898" s="2"/>
    </row>
    <row r="4899" spans="2:5" x14ac:dyDescent="0.35">
      <c r="B4899" s="1"/>
      <c r="E4899" s="2"/>
    </row>
    <row r="4900" spans="2:5" x14ac:dyDescent="0.35">
      <c r="B4900" s="1"/>
    </row>
    <row r="4901" spans="2:5" x14ac:dyDescent="0.35">
      <c r="B4901" s="1"/>
    </row>
    <row r="4902" spans="2:5" x14ac:dyDescent="0.35">
      <c r="B4902" s="1"/>
    </row>
    <row r="4903" spans="2:5" x14ac:dyDescent="0.35">
      <c r="B4903" s="1"/>
    </row>
    <row r="4904" spans="2:5" x14ac:dyDescent="0.35">
      <c r="B4904" s="1"/>
      <c r="E4904" s="2"/>
    </row>
    <row r="4905" spans="2:5" x14ac:dyDescent="0.35">
      <c r="B4905" s="1"/>
    </row>
    <row r="4906" spans="2:5" x14ac:dyDescent="0.35">
      <c r="B4906" s="1"/>
    </row>
    <row r="4907" spans="2:5" x14ac:dyDescent="0.35">
      <c r="B4907" s="1"/>
      <c r="E4907" s="2"/>
    </row>
    <row r="4908" spans="2:5" x14ac:dyDescent="0.35">
      <c r="B4908" s="1"/>
    </row>
    <row r="4909" spans="2:5" x14ac:dyDescent="0.35">
      <c r="B4909" s="1"/>
      <c r="E4909" s="2"/>
    </row>
    <row r="4910" spans="2:5" x14ac:dyDescent="0.35">
      <c r="B4910" s="1"/>
    </row>
    <row r="4911" spans="2:5" x14ac:dyDescent="0.35">
      <c r="B4911" s="1"/>
    </row>
    <row r="4912" spans="2:5" x14ac:dyDescent="0.35">
      <c r="B4912" s="1"/>
    </row>
    <row r="4913" spans="2:5" x14ac:dyDescent="0.35">
      <c r="B4913" s="1"/>
    </row>
    <row r="4914" spans="2:5" x14ac:dyDescent="0.35">
      <c r="B4914" s="1"/>
      <c r="E4914" s="2"/>
    </row>
    <row r="4915" spans="2:5" x14ac:dyDescent="0.35">
      <c r="B4915" s="1"/>
    </row>
    <row r="4916" spans="2:5" x14ac:dyDescent="0.35">
      <c r="B4916" s="1"/>
      <c r="E4916" s="2"/>
    </row>
    <row r="4917" spans="2:5" x14ac:dyDescent="0.35">
      <c r="B4917" s="1"/>
    </row>
    <row r="4918" spans="2:5" x14ac:dyDescent="0.35">
      <c r="B4918" s="1"/>
      <c r="E4918" s="2"/>
    </row>
    <row r="4919" spans="2:5" x14ac:dyDescent="0.35">
      <c r="B4919" s="1"/>
      <c r="E4919" s="2"/>
    </row>
    <row r="4920" spans="2:5" x14ac:dyDescent="0.35">
      <c r="B4920" s="1"/>
    </row>
    <row r="4921" spans="2:5" x14ac:dyDescent="0.35">
      <c r="B4921" s="1"/>
      <c r="E4921" s="2"/>
    </row>
    <row r="4922" spans="2:5" x14ac:dyDescent="0.35">
      <c r="B4922" s="1"/>
    </row>
    <row r="4923" spans="2:5" x14ac:dyDescent="0.35">
      <c r="B4923" s="1"/>
      <c r="E4923" s="2"/>
    </row>
    <row r="4924" spans="2:5" x14ac:dyDescent="0.35">
      <c r="B4924" s="1"/>
    </row>
    <row r="4925" spans="2:5" x14ac:dyDescent="0.35">
      <c r="B4925" s="1"/>
      <c r="E4925" s="2"/>
    </row>
    <row r="4926" spans="2:5" x14ac:dyDescent="0.35">
      <c r="B4926" s="1"/>
    </row>
    <row r="4927" spans="2:5" x14ac:dyDescent="0.35">
      <c r="B4927" s="1"/>
      <c r="E4927" s="2"/>
    </row>
    <row r="4928" spans="2:5" x14ac:dyDescent="0.35">
      <c r="B4928" s="1"/>
    </row>
    <row r="4929" spans="2:5" x14ac:dyDescent="0.35">
      <c r="B4929" s="1"/>
      <c r="E4929" s="2"/>
    </row>
    <row r="4930" spans="2:5" x14ac:dyDescent="0.35">
      <c r="B4930" s="1"/>
      <c r="E4930" s="2"/>
    </row>
    <row r="4931" spans="2:5" x14ac:dyDescent="0.35">
      <c r="B4931" s="1"/>
      <c r="E4931" s="2"/>
    </row>
    <row r="4932" spans="2:5" x14ac:dyDescent="0.35">
      <c r="B4932" s="1"/>
      <c r="E4932" s="2"/>
    </row>
    <row r="4933" spans="2:5" x14ac:dyDescent="0.35">
      <c r="B4933" s="1"/>
      <c r="E4933" s="2"/>
    </row>
    <row r="4934" spans="2:5" x14ac:dyDescent="0.35">
      <c r="B4934" s="1"/>
      <c r="E4934" s="2"/>
    </row>
    <row r="4935" spans="2:5" x14ac:dyDescent="0.35">
      <c r="B4935" s="1"/>
      <c r="E4935" s="2"/>
    </row>
    <row r="4936" spans="2:5" x14ac:dyDescent="0.35">
      <c r="B4936" s="1"/>
    </row>
    <row r="4937" spans="2:5" x14ac:dyDescent="0.35">
      <c r="B4937" s="1"/>
    </row>
    <row r="4938" spans="2:5" x14ac:dyDescent="0.35">
      <c r="B4938" s="1"/>
      <c r="E4938" s="2"/>
    </row>
    <row r="4939" spans="2:5" x14ac:dyDescent="0.35">
      <c r="B4939" s="1"/>
      <c r="E4939" s="2"/>
    </row>
    <row r="4940" spans="2:5" x14ac:dyDescent="0.35">
      <c r="B4940" s="1"/>
    </row>
    <row r="4941" spans="2:5" x14ac:dyDescent="0.35">
      <c r="B4941" s="1"/>
    </row>
    <row r="4942" spans="2:5" x14ac:dyDescent="0.35">
      <c r="B4942" s="1"/>
    </row>
    <row r="4943" spans="2:5" x14ac:dyDescent="0.35">
      <c r="B4943" s="1"/>
      <c r="E4943" s="2"/>
    </row>
    <row r="4944" spans="2:5" x14ac:dyDescent="0.35">
      <c r="B4944" s="1"/>
    </row>
    <row r="4945" spans="2:5" x14ac:dyDescent="0.35">
      <c r="B4945" s="1"/>
    </row>
    <row r="4946" spans="2:5" x14ac:dyDescent="0.35">
      <c r="B4946" s="1"/>
      <c r="E4946" s="2"/>
    </row>
    <row r="4947" spans="2:5" x14ac:dyDescent="0.35">
      <c r="B4947" s="1"/>
      <c r="E4947" s="2"/>
    </row>
    <row r="4948" spans="2:5" x14ac:dyDescent="0.35">
      <c r="B4948" s="1"/>
    </row>
    <row r="4949" spans="2:5" x14ac:dyDescent="0.35">
      <c r="B4949" s="1"/>
      <c r="E4949" s="2"/>
    </row>
    <row r="4950" spans="2:5" x14ac:dyDescent="0.35">
      <c r="B4950" s="1"/>
    </row>
    <row r="4951" spans="2:5" x14ac:dyDescent="0.35">
      <c r="B4951" s="1"/>
    </row>
    <row r="4952" spans="2:5" x14ac:dyDescent="0.35">
      <c r="B4952" s="1"/>
    </row>
    <row r="4953" spans="2:5" x14ac:dyDescent="0.35">
      <c r="B4953" s="1"/>
      <c r="E4953" s="2"/>
    </row>
    <row r="4954" spans="2:5" x14ac:dyDescent="0.35">
      <c r="B4954" s="1"/>
    </row>
    <row r="4955" spans="2:5" x14ac:dyDescent="0.35">
      <c r="B4955" s="1"/>
    </row>
    <row r="4956" spans="2:5" x14ac:dyDescent="0.35">
      <c r="B4956" s="1"/>
      <c r="E4956" s="2"/>
    </row>
    <row r="4957" spans="2:5" x14ac:dyDescent="0.35">
      <c r="B4957" s="1"/>
      <c r="E4957" s="2"/>
    </row>
    <row r="4958" spans="2:5" x14ac:dyDescent="0.35">
      <c r="B4958" s="1"/>
      <c r="E4958" s="2"/>
    </row>
    <row r="4959" spans="2:5" x14ac:dyDescent="0.35">
      <c r="B4959" s="1"/>
    </row>
    <row r="4960" spans="2:5" x14ac:dyDescent="0.35">
      <c r="B4960" s="1"/>
      <c r="E4960" s="2"/>
    </row>
    <row r="4961" spans="2:5" x14ac:dyDescent="0.35">
      <c r="B4961" s="1"/>
    </row>
    <row r="4962" spans="2:5" x14ac:dyDescent="0.35">
      <c r="B4962" s="1"/>
    </row>
    <row r="4963" spans="2:5" x14ac:dyDescent="0.35">
      <c r="B4963" s="1"/>
    </row>
    <row r="4964" spans="2:5" x14ac:dyDescent="0.35">
      <c r="B4964" s="1"/>
    </row>
    <row r="4965" spans="2:5" x14ac:dyDescent="0.35">
      <c r="B4965" s="1"/>
      <c r="E4965" s="2"/>
    </row>
    <row r="4966" spans="2:5" x14ac:dyDescent="0.35">
      <c r="B4966" s="1"/>
      <c r="E4966" s="2"/>
    </row>
    <row r="4967" spans="2:5" x14ac:dyDescent="0.35">
      <c r="B4967" s="1"/>
    </row>
    <row r="4968" spans="2:5" x14ac:dyDescent="0.35">
      <c r="B4968" s="1"/>
      <c r="E4968" s="2"/>
    </row>
    <row r="4969" spans="2:5" x14ac:dyDescent="0.35">
      <c r="B4969" s="1"/>
    </row>
    <row r="4970" spans="2:5" x14ac:dyDescent="0.35">
      <c r="B4970" s="1"/>
    </row>
    <row r="4971" spans="2:5" x14ac:dyDescent="0.35">
      <c r="B4971" s="1"/>
    </row>
    <row r="4972" spans="2:5" x14ac:dyDescent="0.35">
      <c r="B4972" s="1"/>
      <c r="E4972" s="2"/>
    </row>
    <row r="4973" spans="2:5" x14ac:dyDescent="0.35">
      <c r="B4973" s="1"/>
      <c r="E4973" s="2"/>
    </row>
    <row r="4974" spans="2:5" x14ac:dyDescent="0.35">
      <c r="B4974" s="1"/>
    </row>
    <row r="4975" spans="2:5" x14ac:dyDescent="0.35">
      <c r="B4975" s="1"/>
    </row>
    <row r="4976" spans="2:5" x14ac:dyDescent="0.35">
      <c r="B4976" s="1"/>
      <c r="E4976" s="2"/>
    </row>
    <row r="4977" spans="2:5" x14ac:dyDescent="0.35">
      <c r="B4977" s="1"/>
    </row>
    <row r="4978" spans="2:5" x14ac:dyDescent="0.35">
      <c r="B4978" s="1"/>
      <c r="E4978" s="2"/>
    </row>
    <row r="4979" spans="2:5" x14ac:dyDescent="0.35">
      <c r="B4979" s="1"/>
      <c r="E4979" s="2"/>
    </row>
    <row r="4980" spans="2:5" x14ac:dyDescent="0.35">
      <c r="B4980" s="1"/>
      <c r="E4980" s="2"/>
    </row>
    <row r="4981" spans="2:5" x14ac:dyDescent="0.35">
      <c r="B4981" s="1"/>
    </row>
    <row r="4982" spans="2:5" x14ac:dyDescent="0.35">
      <c r="B4982" s="1"/>
      <c r="E4982" s="2"/>
    </row>
    <row r="4983" spans="2:5" x14ac:dyDescent="0.35">
      <c r="B4983" s="1"/>
      <c r="E4983" s="2"/>
    </row>
    <row r="4984" spans="2:5" x14ac:dyDescent="0.35">
      <c r="B4984" s="1"/>
    </row>
    <row r="4985" spans="2:5" x14ac:dyDescent="0.35">
      <c r="B4985" s="1"/>
      <c r="E4985" s="2"/>
    </row>
    <row r="4986" spans="2:5" x14ac:dyDescent="0.35">
      <c r="B4986" s="1"/>
      <c r="E4986" s="2"/>
    </row>
    <row r="4987" spans="2:5" x14ac:dyDescent="0.35">
      <c r="B4987" s="1"/>
      <c r="E4987" s="2"/>
    </row>
    <row r="4988" spans="2:5" x14ac:dyDescent="0.35">
      <c r="B4988" s="1"/>
      <c r="E4988" s="2"/>
    </row>
    <row r="4989" spans="2:5" x14ac:dyDescent="0.35">
      <c r="B4989" s="1"/>
    </row>
    <row r="4990" spans="2:5" x14ac:dyDescent="0.35">
      <c r="B4990" s="1"/>
    </row>
    <row r="4991" spans="2:5" x14ac:dyDescent="0.35">
      <c r="B4991" s="1"/>
    </row>
    <row r="4992" spans="2:5" x14ac:dyDescent="0.35">
      <c r="B4992" s="1"/>
      <c r="E4992" s="2"/>
    </row>
    <row r="4993" spans="2:5" x14ac:dyDescent="0.35">
      <c r="B4993" s="1"/>
    </row>
    <row r="4994" spans="2:5" x14ac:dyDescent="0.35">
      <c r="B4994" s="1"/>
      <c r="E4994" s="2"/>
    </row>
    <row r="4995" spans="2:5" x14ac:dyDescent="0.35">
      <c r="B4995" s="1"/>
      <c r="E4995" s="2"/>
    </row>
    <row r="4996" spans="2:5" x14ac:dyDescent="0.35">
      <c r="B4996" s="1"/>
      <c r="E4996" s="2"/>
    </row>
    <row r="4997" spans="2:5" x14ac:dyDescent="0.35">
      <c r="B4997" s="1"/>
    </row>
    <row r="4998" spans="2:5" x14ac:dyDescent="0.35">
      <c r="B4998" s="1"/>
      <c r="E4998" s="2"/>
    </row>
    <row r="4999" spans="2:5" x14ac:dyDescent="0.35">
      <c r="B4999" s="1"/>
    </row>
    <row r="5000" spans="2:5" x14ac:dyDescent="0.35">
      <c r="B5000" s="1"/>
      <c r="E5000" s="2"/>
    </row>
    <row r="5001" spans="2:5" x14ac:dyDescent="0.35">
      <c r="B5001" s="1"/>
      <c r="E5001" s="2"/>
    </row>
    <row r="5002" spans="2:5" x14ac:dyDescent="0.35">
      <c r="B5002" s="1"/>
    </row>
    <row r="5003" spans="2:5" x14ac:dyDescent="0.35">
      <c r="B5003" s="1"/>
      <c r="E5003" s="2"/>
    </row>
    <row r="5004" spans="2:5" x14ac:dyDescent="0.35">
      <c r="B5004" s="1"/>
      <c r="E5004" s="2"/>
    </row>
    <row r="5005" spans="2:5" x14ac:dyDescent="0.35">
      <c r="B5005" s="1"/>
    </row>
    <row r="5006" spans="2:5" x14ac:dyDescent="0.35">
      <c r="B5006" s="1"/>
      <c r="E5006" s="2"/>
    </row>
    <row r="5007" spans="2:5" x14ac:dyDescent="0.35">
      <c r="B5007" s="1"/>
    </row>
    <row r="5008" spans="2:5" x14ac:dyDescent="0.35">
      <c r="B5008" s="1"/>
    </row>
    <row r="5009" spans="2:5" x14ac:dyDescent="0.35">
      <c r="B5009" s="1"/>
    </row>
    <row r="5010" spans="2:5" x14ac:dyDescent="0.35">
      <c r="B5010" s="1"/>
      <c r="E5010" s="2"/>
    </row>
    <row r="5011" spans="2:5" x14ac:dyDescent="0.35">
      <c r="B5011" s="1"/>
    </row>
    <row r="5012" spans="2:5" x14ac:dyDescent="0.35">
      <c r="B5012" s="1"/>
    </row>
    <row r="5013" spans="2:5" x14ac:dyDescent="0.35">
      <c r="B5013" s="1"/>
    </row>
    <row r="5014" spans="2:5" x14ac:dyDescent="0.35">
      <c r="B5014" s="1"/>
    </row>
    <row r="5015" spans="2:5" x14ac:dyDescent="0.35">
      <c r="B5015" s="1"/>
    </row>
    <row r="5016" spans="2:5" x14ac:dyDescent="0.35">
      <c r="B5016" s="1"/>
    </row>
    <row r="5017" spans="2:5" x14ac:dyDescent="0.35">
      <c r="B5017" s="1"/>
    </row>
    <row r="5018" spans="2:5" x14ac:dyDescent="0.35">
      <c r="B5018" s="1"/>
    </row>
    <row r="5019" spans="2:5" x14ac:dyDescent="0.35">
      <c r="B5019" s="1"/>
    </row>
    <row r="5020" spans="2:5" x14ac:dyDescent="0.35">
      <c r="B5020" s="1"/>
      <c r="E5020" s="2"/>
    </row>
    <row r="5021" spans="2:5" x14ac:dyDescent="0.35">
      <c r="B5021" s="1"/>
      <c r="E5021" s="2"/>
    </row>
    <row r="5022" spans="2:5" x14ac:dyDescent="0.35">
      <c r="B5022" s="1"/>
      <c r="E5022" s="2"/>
    </row>
    <row r="5023" spans="2:5" x14ac:dyDescent="0.35">
      <c r="B5023" s="1"/>
    </row>
    <row r="5024" spans="2:5" x14ac:dyDescent="0.35">
      <c r="B5024" s="1"/>
      <c r="E5024" s="2"/>
    </row>
    <row r="5025" spans="2:5" x14ac:dyDescent="0.35">
      <c r="B5025" s="1"/>
    </row>
    <row r="5026" spans="2:5" x14ac:dyDescent="0.35">
      <c r="B5026" s="1"/>
      <c r="E5026" s="2"/>
    </row>
    <row r="5027" spans="2:5" x14ac:dyDescent="0.35">
      <c r="B5027" s="1"/>
    </row>
    <row r="5028" spans="2:5" x14ac:dyDescent="0.35">
      <c r="B5028" s="1"/>
      <c r="E5028" s="2"/>
    </row>
    <row r="5029" spans="2:5" x14ac:dyDescent="0.35">
      <c r="B5029" s="1"/>
      <c r="E5029" s="2"/>
    </row>
    <row r="5030" spans="2:5" x14ac:dyDescent="0.35">
      <c r="B5030" s="1"/>
      <c r="E5030" s="2"/>
    </row>
    <row r="5031" spans="2:5" x14ac:dyDescent="0.35">
      <c r="B5031" s="1"/>
    </row>
    <row r="5032" spans="2:5" x14ac:dyDescent="0.35">
      <c r="B5032" s="1"/>
    </row>
    <row r="5033" spans="2:5" x14ac:dyDescent="0.35">
      <c r="B5033" s="1"/>
      <c r="E5033" s="2"/>
    </row>
    <row r="5034" spans="2:5" x14ac:dyDescent="0.35">
      <c r="B5034" s="1"/>
    </row>
    <row r="5035" spans="2:5" x14ac:dyDescent="0.35">
      <c r="B5035" s="1"/>
      <c r="E5035" s="2"/>
    </row>
    <row r="5036" spans="2:5" x14ac:dyDescent="0.35">
      <c r="B5036" s="1"/>
      <c r="E5036" s="2"/>
    </row>
    <row r="5037" spans="2:5" x14ac:dyDescent="0.35">
      <c r="B5037" s="1"/>
    </row>
    <row r="5038" spans="2:5" x14ac:dyDescent="0.35">
      <c r="B5038" s="1"/>
      <c r="E5038" s="2"/>
    </row>
    <row r="5039" spans="2:5" x14ac:dyDescent="0.35">
      <c r="B5039" s="1"/>
    </row>
    <row r="5040" spans="2:5" x14ac:dyDescent="0.35">
      <c r="B5040" s="1"/>
      <c r="E5040" s="2"/>
    </row>
    <row r="5041" spans="2:5" x14ac:dyDescent="0.35">
      <c r="B5041" s="1"/>
      <c r="E5041" s="2"/>
    </row>
    <row r="5042" spans="2:5" x14ac:dyDescent="0.35">
      <c r="B5042" s="1"/>
      <c r="E5042" s="2"/>
    </row>
    <row r="5043" spans="2:5" x14ac:dyDescent="0.35">
      <c r="B5043" s="1"/>
    </row>
    <row r="5044" spans="2:5" x14ac:dyDescent="0.35">
      <c r="B5044" s="1"/>
      <c r="E5044" s="2"/>
    </row>
    <row r="5045" spans="2:5" x14ac:dyDescent="0.35">
      <c r="B5045" s="1"/>
      <c r="E5045" s="2"/>
    </row>
    <row r="5046" spans="2:5" x14ac:dyDescent="0.35">
      <c r="B5046" s="1"/>
      <c r="E5046" s="2"/>
    </row>
    <row r="5047" spans="2:5" x14ac:dyDescent="0.35">
      <c r="B5047" s="1"/>
      <c r="E5047" s="2"/>
    </row>
    <row r="5048" spans="2:5" x14ac:dyDescent="0.35">
      <c r="B5048" s="1"/>
    </row>
    <row r="5049" spans="2:5" x14ac:dyDescent="0.35">
      <c r="B5049" s="1"/>
      <c r="E5049" s="2"/>
    </row>
    <row r="5050" spans="2:5" x14ac:dyDescent="0.35">
      <c r="B5050" s="1"/>
    </row>
    <row r="5051" spans="2:5" x14ac:dyDescent="0.35">
      <c r="B5051" s="1"/>
    </row>
    <row r="5052" spans="2:5" x14ac:dyDescent="0.35">
      <c r="B5052" s="1"/>
      <c r="E5052" s="2"/>
    </row>
    <row r="5053" spans="2:5" x14ac:dyDescent="0.35">
      <c r="B5053" s="1"/>
      <c r="E5053" s="2"/>
    </row>
    <row r="5054" spans="2:5" x14ac:dyDescent="0.35">
      <c r="B5054" s="1"/>
      <c r="E5054" s="2"/>
    </row>
    <row r="5055" spans="2:5" x14ac:dyDescent="0.35">
      <c r="B5055" s="1"/>
    </row>
    <row r="5056" spans="2:5" x14ac:dyDescent="0.35">
      <c r="B5056" s="1"/>
    </row>
    <row r="5057" spans="2:5" x14ac:dyDescent="0.35">
      <c r="B5057" s="1"/>
      <c r="E5057" s="2"/>
    </row>
    <row r="5058" spans="2:5" x14ac:dyDescent="0.35">
      <c r="B5058" s="1"/>
      <c r="E5058" s="2"/>
    </row>
    <row r="5059" spans="2:5" x14ac:dyDescent="0.35">
      <c r="B5059" s="1"/>
      <c r="E5059" s="2"/>
    </row>
    <row r="5060" spans="2:5" x14ac:dyDescent="0.35">
      <c r="B5060" s="1"/>
      <c r="E5060" s="2"/>
    </row>
    <row r="5061" spans="2:5" x14ac:dyDescent="0.35">
      <c r="B5061" s="1"/>
    </row>
    <row r="5062" spans="2:5" x14ac:dyDescent="0.35">
      <c r="B5062" s="1"/>
      <c r="E5062" s="2"/>
    </row>
    <row r="5063" spans="2:5" x14ac:dyDescent="0.35">
      <c r="B5063" s="1"/>
    </row>
    <row r="5064" spans="2:5" x14ac:dyDescent="0.35">
      <c r="B5064" s="1"/>
      <c r="E5064" s="2"/>
    </row>
    <row r="5065" spans="2:5" x14ac:dyDescent="0.35">
      <c r="B5065" s="1"/>
      <c r="E5065" s="2"/>
    </row>
    <row r="5066" spans="2:5" x14ac:dyDescent="0.35">
      <c r="B5066" s="1"/>
      <c r="E5066" s="2"/>
    </row>
    <row r="5067" spans="2:5" x14ac:dyDescent="0.35">
      <c r="B5067" s="1"/>
      <c r="E5067" s="2"/>
    </row>
    <row r="5068" spans="2:5" x14ac:dyDescent="0.35">
      <c r="B5068" s="1"/>
      <c r="E5068" s="2"/>
    </row>
    <row r="5069" spans="2:5" x14ac:dyDescent="0.35">
      <c r="B5069" s="1"/>
    </row>
    <row r="5070" spans="2:5" x14ac:dyDescent="0.35">
      <c r="B5070" s="1"/>
      <c r="E5070" s="2"/>
    </row>
    <row r="5071" spans="2:5" x14ac:dyDescent="0.35">
      <c r="B5071" s="1"/>
      <c r="E5071" s="2"/>
    </row>
    <row r="5072" spans="2:5" x14ac:dyDescent="0.35">
      <c r="B5072" s="1"/>
    </row>
    <row r="5073" spans="2:5" x14ac:dyDescent="0.35">
      <c r="B5073" s="1"/>
      <c r="E5073" s="2"/>
    </row>
    <row r="5074" spans="2:5" x14ac:dyDescent="0.35">
      <c r="B5074" s="1"/>
      <c r="E5074" s="2"/>
    </row>
    <row r="5075" spans="2:5" x14ac:dyDescent="0.35">
      <c r="B5075" s="1"/>
      <c r="E5075" s="2"/>
    </row>
    <row r="5076" spans="2:5" x14ac:dyDescent="0.35">
      <c r="B5076" s="1"/>
    </row>
    <row r="5077" spans="2:5" x14ac:dyDescent="0.35">
      <c r="B5077" s="1"/>
      <c r="E5077" s="2"/>
    </row>
    <row r="5078" spans="2:5" x14ac:dyDescent="0.35">
      <c r="B5078" s="1"/>
      <c r="E5078" s="2"/>
    </row>
    <row r="5079" spans="2:5" x14ac:dyDescent="0.35">
      <c r="B5079" s="1"/>
    </row>
    <row r="5080" spans="2:5" x14ac:dyDescent="0.35">
      <c r="B5080" s="1"/>
    </row>
    <row r="5081" spans="2:5" x14ac:dyDescent="0.35">
      <c r="B5081" s="1"/>
    </row>
    <row r="5082" spans="2:5" x14ac:dyDescent="0.35">
      <c r="B5082" s="1"/>
      <c r="E5082" s="2"/>
    </row>
    <row r="5083" spans="2:5" x14ac:dyDescent="0.35">
      <c r="B5083" s="1"/>
      <c r="E5083" s="2"/>
    </row>
    <row r="5084" spans="2:5" x14ac:dyDescent="0.35">
      <c r="B5084" s="1"/>
    </row>
    <row r="5085" spans="2:5" x14ac:dyDescent="0.35">
      <c r="B5085" s="1"/>
      <c r="E5085" s="2"/>
    </row>
    <row r="5086" spans="2:5" x14ac:dyDescent="0.35">
      <c r="B5086" s="1"/>
    </row>
    <row r="5087" spans="2:5" x14ac:dyDescent="0.35">
      <c r="B5087" s="1"/>
    </row>
    <row r="5088" spans="2:5" x14ac:dyDescent="0.35">
      <c r="B5088" s="1"/>
    </row>
    <row r="5089" spans="2:5" x14ac:dyDescent="0.35">
      <c r="B5089" s="1"/>
    </row>
    <row r="5090" spans="2:5" x14ac:dyDescent="0.35">
      <c r="B5090" s="1"/>
      <c r="E5090" s="2"/>
    </row>
    <row r="5091" spans="2:5" x14ac:dyDescent="0.35">
      <c r="B5091" s="1"/>
      <c r="E5091" s="2"/>
    </row>
    <row r="5092" spans="2:5" x14ac:dyDescent="0.35">
      <c r="B5092" s="1"/>
      <c r="E5092" s="2"/>
    </row>
    <row r="5093" spans="2:5" x14ac:dyDescent="0.35">
      <c r="B5093" s="1"/>
      <c r="E5093" s="2"/>
    </row>
    <row r="5094" spans="2:5" x14ac:dyDescent="0.35">
      <c r="B5094" s="1"/>
    </row>
    <row r="5095" spans="2:5" x14ac:dyDescent="0.35">
      <c r="B5095" s="1"/>
    </row>
    <row r="5096" spans="2:5" x14ac:dyDescent="0.35">
      <c r="B5096" s="1"/>
      <c r="E5096" s="2"/>
    </row>
    <row r="5097" spans="2:5" x14ac:dyDescent="0.35">
      <c r="B5097" s="1"/>
    </row>
    <row r="5098" spans="2:5" x14ac:dyDescent="0.35">
      <c r="B5098" s="1"/>
      <c r="E5098" s="2"/>
    </row>
    <row r="5099" spans="2:5" x14ac:dyDescent="0.35">
      <c r="B5099" s="1"/>
      <c r="E5099" s="2"/>
    </row>
    <row r="5100" spans="2:5" x14ac:dyDescent="0.35">
      <c r="B5100" s="1"/>
    </row>
    <row r="5101" spans="2:5" x14ac:dyDescent="0.35">
      <c r="B5101" s="1"/>
      <c r="E5101" s="2"/>
    </row>
    <row r="5102" spans="2:5" x14ac:dyDescent="0.35">
      <c r="B5102" s="1"/>
      <c r="E5102" s="2"/>
    </row>
    <row r="5103" spans="2:5" x14ac:dyDescent="0.35">
      <c r="B5103" s="1"/>
    </row>
    <row r="5104" spans="2:5" x14ac:dyDescent="0.35">
      <c r="B5104" s="1"/>
    </row>
    <row r="5105" spans="2:5" x14ac:dyDescent="0.35">
      <c r="B5105" s="1"/>
    </row>
    <row r="5106" spans="2:5" x14ac:dyDescent="0.35">
      <c r="B5106" s="1"/>
    </row>
    <row r="5107" spans="2:5" x14ac:dyDescent="0.35">
      <c r="B5107" s="1"/>
    </row>
    <row r="5108" spans="2:5" x14ac:dyDescent="0.35">
      <c r="B5108" s="1"/>
      <c r="E5108" s="2"/>
    </row>
    <row r="5109" spans="2:5" x14ac:dyDescent="0.35">
      <c r="B5109" s="1"/>
    </row>
    <row r="5110" spans="2:5" x14ac:dyDescent="0.35">
      <c r="B5110" s="1"/>
      <c r="E5110" s="2"/>
    </row>
    <row r="5111" spans="2:5" x14ac:dyDescent="0.35">
      <c r="B5111" s="1"/>
      <c r="E5111" s="2"/>
    </row>
    <row r="5112" spans="2:5" x14ac:dyDescent="0.35">
      <c r="B5112" s="1"/>
      <c r="E5112" s="2"/>
    </row>
    <row r="5113" spans="2:5" x14ac:dyDescent="0.35">
      <c r="B5113" s="1"/>
      <c r="E5113" s="2"/>
    </row>
    <row r="5114" spans="2:5" x14ac:dyDescent="0.35">
      <c r="B5114" s="1"/>
      <c r="E5114" s="2"/>
    </row>
    <row r="5115" spans="2:5" x14ac:dyDescent="0.35">
      <c r="B5115" s="1"/>
      <c r="E5115" s="2"/>
    </row>
    <row r="5116" spans="2:5" x14ac:dyDescent="0.35">
      <c r="B5116" s="1"/>
    </row>
    <row r="5117" spans="2:5" x14ac:dyDescent="0.35">
      <c r="B5117" s="1"/>
      <c r="E5117" s="2"/>
    </row>
    <row r="5118" spans="2:5" x14ac:dyDescent="0.35">
      <c r="B5118" s="1"/>
      <c r="E5118" s="2"/>
    </row>
    <row r="5119" spans="2:5" x14ac:dyDescent="0.35">
      <c r="B5119" s="1"/>
    </row>
    <row r="5120" spans="2:5" x14ac:dyDescent="0.35">
      <c r="B5120" s="1"/>
    </row>
    <row r="5121" spans="2:5" x14ac:dyDescent="0.35">
      <c r="B5121" s="1"/>
    </row>
    <row r="5122" spans="2:5" x14ac:dyDescent="0.35">
      <c r="B5122" s="1"/>
      <c r="E5122" s="2"/>
    </row>
    <row r="5123" spans="2:5" x14ac:dyDescent="0.35">
      <c r="B5123" s="1"/>
      <c r="E5123" s="2"/>
    </row>
    <row r="5124" spans="2:5" x14ac:dyDescent="0.35">
      <c r="B5124" s="1"/>
      <c r="E5124" s="2"/>
    </row>
    <row r="5125" spans="2:5" x14ac:dyDescent="0.35">
      <c r="B5125" s="1"/>
    </row>
    <row r="5126" spans="2:5" x14ac:dyDescent="0.35">
      <c r="B5126" s="1"/>
    </row>
    <row r="5127" spans="2:5" x14ac:dyDescent="0.35">
      <c r="B5127" s="1"/>
      <c r="E5127" s="2"/>
    </row>
    <row r="5128" spans="2:5" x14ac:dyDescent="0.35">
      <c r="B5128" s="1"/>
    </row>
    <row r="5129" spans="2:5" x14ac:dyDescent="0.35">
      <c r="B5129" s="1"/>
      <c r="E5129" s="2"/>
    </row>
    <row r="5130" spans="2:5" x14ac:dyDescent="0.35">
      <c r="B5130" s="1"/>
    </row>
    <row r="5131" spans="2:5" x14ac:dyDescent="0.35">
      <c r="B5131" s="1"/>
    </row>
    <row r="5132" spans="2:5" x14ac:dyDescent="0.35">
      <c r="B5132" s="1"/>
      <c r="E5132" s="2"/>
    </row>
    <row r="5133" spans="2:5" x14ac:dyDescent="0.35">
      <c r="B5133" s="1"/>
    </row>
    <row r="5134" spans="2:5" x14ac:dyDescent="0.35">
      <c r="B5134" s="1"/>
      <c r="E5134" s="2"/>
    </row>
    <row r="5135" spans="2:5" x14ac:dyDescent="0.35">
      <c r="B5135" s="1"/>
    </row>
    <row r="5136" spans="2:5" x14ac:dyDescent="0.35">
      <c r="B5136" s="1"/>
      <c r="E5136" s="2"/>
    </row>
    <row r="5137" spans="2:5" x14ac:dyDescent="0.35">
      <c r="B5137" s="1"/>
      <c r="E5137" s="2"/>
    </row>
    <row r="5138" spans="2:5" x14ac:dyDescent="0.35">
      <c r="B5138" s="1"/>
      <c r="E5138" s="2"/>
    </row>
    <row r="5139" spans="2:5" x14ac:dyDescent="0.35">
      <c r="B5139" s="1"/>
    </row>
    <row r="5140" spans="2:5" x14ac:dyDescent="0.35">
      <c r="B5140" s="1"/>
      <c r="E5140" s="2"/>
    </row>
    <row r="5141" spans="2:5" x14ac:dyDescent="0.35">
      <c r="B5141" s="1"/>
      <c r="E5141" s="2"/>
    </row>
    <row r="5142" spans="2:5" x14ac:dyDescent="0.35">
      <c r="B5142" s="1"/>
      <c r="E5142" s="2"/>
    </row>
    <row r="5143" spans="2:5" x14ac:dyDescent="0.35">
      <c r="B5143" s="1"/>
    </row>
    <row r="5144" spans="2:5" x14ac:dyDescent="0.35">
      <c r="B5144" s="1"/>
      <c r="E5144" s="2"/>
    </row>
    <row r="5145" spans="2:5" x14ac:dyDescent="0.35">
      <c r="B5145" s="1"/>
    </row>
    <row r="5146" spans="2:5" x14ac:dyDescent="0.35">
      <c r="B5146" s="1"/>
    </row>
    <row r="5147" spans="2:5" x14ac:dyDescent="0.35">
      <c r="B5147" s="1"/>
      <c r="E5147" s="2"/>
    </row>
    <row r="5148" spans="2:5" x14ac:dyDescent="0.35">
      <c r="B5148" s="1"/>
      <c r="E5148" s="2"/>
    </row>
    <row r="5149" spans="2:5" x14ac:dyDescent="0.35">
      <c r="B5149" s="1"/>
    </row>
    <row r="5150" spans="2:5" x14ac:dyDescent="0.35">
      <c r="B5150" s="1"/>
      <c r="E5150" s="2"/>
    </row>
    <row r="5151" spans="2:5" x14ac:dyDescent="0.35">
      <c r="B5151" s="1"/>
    </row>
    <row r="5152" spans="2:5" x14ac:dyDescent="0.35">
      <c r="B5152" s="1"/>
    </row>
    <row r="5153" spans="2:5" x14ac:dyDescent="0.35">
      <c r="B5153" s="1"/>
    </row>
    <row r="5154" spans="2:5" x14ac:dyDescent="0.35">
      <c r="B5154" s="1"/>
      <c r="E5154" s="2"/>
    </row>
    <row r="5155" spans="2:5" x14ac:dyDescent="0.35">
      <c r="B5155" s="1"/>
    </row>
    <row r="5156" spans="2:5" x14ac:dyDescent="0.35">
      <c r="B5156" s="1"/>
    </row>
    <row r="5157" spans="2:5" x14ac:dyDescent="0.35">
      <c r="B5157" s="1"/>
      <c r="E5157" s="2"/>
    </row>
    <row r="5158" spans="2:5" x14ac:dyDescent="0.35">
      <c r="B5158" s="1"/>
    </row>
    <row r="5159" spans="2:5" x14ac:dyDescent="0.35">
      <c r="B5159" s="1"/>
    </row>
    <row r="5160" spans="2:5" x14ac:dyDescent="0.35">
      <c r="B5160" s="1"/>
    </row>
    <row r="5161" spans="2:5" x14ac:dyDescent="0.35">
      <c r="B5161" s="1"/>
    </row>
    <row r="5162" spans="2:5" x14ac:dyDescent="0.35">
      <c r="B5162" s="1"/>
      <c r="E5162" s="2"/>
    </row>
    <row r="5163" spans="2:5" x14ac:dyDescent="0.35">
      <c r="B5163" s="1"/>
      <c r="E5163" s="2"/>
    </row>
    <row r="5164" spans="2:5" x14ac:dyDescent="0.35">
      <c r="B5164" s="1"/>
      <c r="E5164" s="2"/>
    </row>
    <row r="5165" spans="2:5" x14ac:dyDescent="0.35">
      <c r="B5165" s="1"/>
    </row>
    <row r="5166" spans="2:5" x14ac:dyDescent="0.35">
      <c r="B5166" s="1"/>
    </row>
    <row r="5167" spans="2:5" x14ac:dyDescent="0.35">
      <c r="B5167" s="1"/>
      <c r="E5167" s="2"/>
    </row>
    <row r="5168" spans="2:5" x14ac:dyDescent="0.35">
      <c r="B5168" s="1"/>
    </row>
    <row r="5169" spans="2:5" x14ac:dyDescent="0.35">
      <c r="B5169" s="1"/>
      <c r="E5169" s="2"/>
    </row>
    <row r="5170" spans="2:5" x14ac:dyDescent="0.35">
      <c r="B5170" s="1"/>
    </row>
    <row r="5171" spans="2:5" x14ac:dyDescent="0.35">
      <c r="B5171" s="1"/>
    </row>
    <row r="5172" spans="2:5" x14ac:dyDescent="0.35">
      <c r="B5172" s="1"/>
    </row>
    <row r="5173" spans="2:5" x14ac:dyDescent="0.35">
      <c r="B5173" s="1"/>
    </row>
    <row r="5174" spans="2:5" x14ac:dyDescent="0.35">
      <c r="B5174" s="1"/>
      <c r="E5174" s="2"/>
    </row>
    <row r="5175" spans="2:5" x14ac:dyDescent="0.35">
      <c r="B5175" s="1"/>
    </row>
    <row r="5176" spans="2:5" x14ac:dyDescent="0.35">
      <c r="B5176" s="1"/>
    </row>
    <row r="5177" spans="2:5" x14ac:dyDescent="0.35">
      <c r="B5177" s="1"/>
      <c r="E5177" s="2"/>
    </row>
    <row r="5178" spans="2:5" x14ac:dyDescent="0.35">
      <c r="B5178" s="1"/>
      <c r="E5178" s="2"/>
    </row>
    <row r="5179" spans="2:5" x14ac:dyDescent="0.35">
      <c r="B5179" s="1"/>
    </row>
    <row r="5180" spans="2:5" x14ac:dyDescent="0.35">
      <c r="B5180" s="1"/>
      <c r="E5180" s="2"/>
    </row>
    <row r="5181" spans="2:5" x14ac:dyDescent="0.35">
      <c r="B5181" s="1"/>
      <c r="E5181" s="2"/>
    </row>
    <row r="5182" spans="2:5" x14ac:dyDescent="0.35">
      <c r="B5182" s="1"/>
      <c r="E5182" s="2"/>
    </row>
    <row r="5183" spans="2:5" x14ac:dyDescent="0.35">
      <c r="B5183" s="1"/>
    </row>
    <row r="5184" spans="2:5" x14ac:dyDescent="0.35">
      <c r="B5184" s="1"/>
      <c r="E5184" s="2"/>
    </row>
    <row r="5185" spans="2:5" x14ac:dyDescent="0.35">
      <c r="B5185" s="1"/>
      <c r="E5185" s="2"/>
    </row>
    <row r="5186" spans="2:5" x14ac:dyDescent="0.35">
      <c r="B5186" s="1"/>
    </row>
    <row r="5187" spans="2:5" x14ac:dyDescent="0.35">
      <c r="B5187" s="1"/>
      <c r="E5187" s="2"/>
    </row>
    <row r="5188" spans="2:5" x14ac:dyDescent="0.35">
      <c r="B5188" s="1"/>
      <c r="E5188" s="2"/>
    </row>
    <row r="5189" spans="2:5" x14ac:dyDescent="0.35">
      <c r="B5189" s="1"/>
    </row>
    <row r="5190" spans="2:5" x14ac:dyDescent="0.35">
      <c r="B5190" s="1"/>
    </row>
    <row r="5191" spans="2:5" x14ac:dyDescent="0.35">
      <c r="B5191" s="1"/>
      <c r="E5191" s="2"/>
    </row>
    <row r="5192" spans="2:5" x14ac:dyDescent="0.35">
      <c r="B5192" s="1"/>
      <c r="E5192" s="2"/>
    </row>
    <row r="5193" spans="2:5" x14ac:dyDescent="0.35">
      <c r="B5193" s="1"/>
      <c r="E5193" s="2"/>
    </row>
    <row r="5194" spans="2:5" x14ac:dyDescent="0.35">
      <c r="B5194" s="1"/>
      <c r="E5194" s="2"/>
    </row>
    <row r="5195" spans="2:5" x14ac:dyDescent="0.35">
      <c r="B5195" s="1"/>
      <c r="E5195" s="2"/>
    </row>
    <row r="5196" spans="2:5" x14ac:dyDescent="0.35">
      <c r="B5196" s="1"/>
      <c r="E5196" s="2"/>
    </row>
    <row r="5197" spans="2:5" x14ac:dyDescent="0.35">
      <c r="B5197" s="1"/>
    </row>
    <row r="5198" spans="2:5" x14ac:dyDescent="0.35">
      <c r="B5198" s="1"/>
    </row>
    <row r="5199" spans="2:5" x14ac:dyDescent="0.35">
      <c r="B5199" s="1"/>
    </row>
    <row r="5200" spans="2:5" x14ac:dyDescent="0.35">
      <c r="B5200" s="1"/>
      <c r="E5200" s="2"/>
    </row>
    <row r="5201" spans="2:5" x14ac:dyDescent="0.35">
      <c r="B5201" s="1"/>
    </row>
    <row r="5202" spans="2:5" x14ac:dyDescent="0.35">
      <c r="B5202" s="1"/>
    </row>
    <row r="5203" spans="2:5" x14ac:dyDescent="0.35">
      <c r="B5203" s="1"/>
    </row>
    <row r="5204" spans="2:5" x14ac:dyDescent="0.35">
      <c r="B5204" s="1"/>
    </row>
    <row r="5205" spans="2:5" x14ac:dyDescent="0.35">
      <c r="B5205" s="1"/>
    </row>
    <row r="5206" spans="2:5" x14ac:dyDescent="0.35">
      <c r="B5206" s="1"/>
      <c r="E5206" s="2"/>
    </row>
    <row r="5207" spans="2:5" x14ac:dyDescent="0.35">
      <c r="B5207" s="1"/>
      <c r="E5207" s="2"/>
    </row>
    <row r="5208" spans="2:5" x14ac:dyDescent="0.35">
      <c r="B5208" s="1"/>
      <c r="E5208" s="2"/>
    </row>
    <row r="5209" spans="2:5" x14ac:dyDescent="0.35">
      <c r="B5209" s="1"/>
      <c r="E5209" s="2"/>
    </row>
    <row r="5210" spans="2:5" x14ac:dyDescent="0.35">
      <c r="B5210" s="1"/>
    </row>
    <row r="5211" spans="2:5" x14ac:dyDescent="0.35">
      <c r="B5211" s="1"/>
      <c r="E5211" s="2"/>
    </row>
    <row r="5212" spans="2:5" x14ac:dyDescent="0.35">
      <c r="B5212" s="1"/>
      <c r="E5212" s="2"/>
    </row>
    <row r="5213" spans="2:5" x14ac:dyDescent="0.35">
      <c r="B5213" s="1"/>
    </row>
    <row r="5214" spans="2:5" x14ac:dyDescent="0.35">
      <c r="B5214" s="1"/>
    </row>
    <row r="5215" spans="2:5" x14ac:dyDescent="0.35">
      <c r="B5215" s="1"/>
    </row>
    <row r="5216" spans="2:5" x14ac:dyDescent="0.35">
      <c r="B5216" s="1"/>
    </row>
    <row r="5217" spans="2:5" x14ac:dyDescent="0.35">
      <c r="B5217" s="1"/>
      <c r="E5217" s="2"/>
    </row>
    <row r="5218" spans="2:5" x14ac:dyDescent="0.35">
      <c r="B5218" s="1"/>
    </row>
    <row r="5219" spans="2:5" x14ac:dyDescent="0.35">
      <c r="B5219" s="1"/>
      <c r="E5219" s="2"/>
    </row>
    <row r="5220" spans="2:5" x14ac:dyDescent="0.35">
      <c r="B5220" s="1"/>
    </row>
    <row r="5221" spans="2:5" x14ac:dyDescent="0.35">
      <c r="B5221" s="1"/>
      <c r="E5221" s="2"/>
    </row>
    <row r="5222" spans="2:5" x14ac:dyDescent="0.35">
      <c r="B5222" s="1"/>
      <c r="E5222" s="2"/>
    </row>
    <row r="5223" spans="2:5" x14ac:dyDescent="0.35">
      <c r="B5223" s="1"/>
    </row>
    <row r="5224" spans="2:5" x14ac:dyDescent="0.35">
      <c r="B5224" s="1"/>
    </row>
    <row r="5225" spans="2:5" x14ac:dyDescent="0.35">
      <c r="B5225" s="1"/>
    </row>
    <row r="5226" spans="2:5" x14ac:dyDescent="0.35">
      <c r="B5226" s="1"/>
      <c r="E5226" s="2"/>
    </row>
    <row r="5227" spans="2:5" x14ac:dyDescent="0.35">
      <c r="B5227" s="1"/>
    </row>
    <row r="5228" spans="2:5" x14ac:dyDescent="0.35">
      <c r="B5228" s="1"/>
    </row>
    <row r="5229" spans="2:5" x14ac:dyDescent="0.35">
      <c r="B5229" s="1"/>
      <c r="E5229" s="2"/>
    </row>
    <row r="5230" spans="2:5" x14ac:dyDescent="0.35">
      <c r="B5230" s="1"/>
    </row>
    <row r="5231" spans="2:5" x14ac:dyDescent="0.35">
      <c r="B5231" s="1"/>
      <c r="E5231" s="2"/>
    </row>
    <row r="5232" spans="2:5" x14ac:dyDescent="0.35">
      <c r="B5232" s="1"/>
    </row>
    <row r="5233" spans="2:5" x14ac:dyDescent="0.35">
      <c r="B5233" s="1"/>
      <c r="E5233" s="2"/>
    </row>
    <row r="5234" spans="2:5" x14ac:dyDescent="0.35">
      <c r="B5234" s="1"/>
    </row>
    <row r="5235" spans="2:5" x14ac:dyDescent="0.35">
      <c r="B5235" s="1"/>
      <c r="E5235" s="2"/>
    </row>
    <row r="5236" spans="2:5" x14ac:dyDescent="0.35">
      <c r="B5236" s="1"/>
      <c r="E5236" s="2"/>
    </row>
    <row r="5237" spans="2:5" x14ac:dyDescent="0.35">
      <c r="B5237" s="1"/>
    </row>
    <row r="5238" spans="2:5" x14ac:dyDescent="0.35">
      <c r="B5238" s="1"/>
    </row>
    <row r="5239" spans="2:5" x14ac:dyDescent="0.35">
      <c r="B5239" s="1"/>
      <c r="E5239" s="2"/>
    </row>
    <row r="5240" spans="2:5" x14ac:dyDescent="0.35">
      <c r="B5240" s="1"/>
      <c r="E5240" s="2"/>
    </row>
    <row r="5241" spans="2:5" x14ac:dyDescent="0.35">
      <c r="B5241" s="1"/>
    </row>
    <row r="5242" spans="2:5" x14ac:dyDescent="0.35">
      <c r="B5242" s="1"/>
      <c r="E5242" s="2"/>
    </row>
    <row r="5243" spans="2:5" x14ac:dyDescent="0.35">
      <c r="B5243" s="1"/>
    </row>
    <row r="5244" spans="2:5" x14ac:dyDescent="0.35">
      <c r="B5244" s="1"/>
    </row>
    <row r="5245" spans="2:5" x14ac:dyDescent="0.35">
      <c r="B5245" s="1"/>
      <c r="E5245" s="2"/>
    </row>
    <row r="5246" spans="2:5" x14ac:dyDescent="0.35">
      <c r="B5246" s="1"/>
    </row>
    <row r="5247" spans="2:5" x14ac:dyDescent="0.35">
      <c r="B5247" s="1"/>
    </row>
    <row r="5248" spans="2:5" x14ac:dyDescent="0.35">
      <c r="B5248" s="1"/>
    </row>
    <row r="5249" spans="2:5" x14ac:dyDescent="0.35">
      <c r="B5249" s="1"/>
      <c r="E5249" s="2"/>
    </row>
    <row r="5250" spans="2:5" x14ac:dyDescent="0.35">
      <c r="B5250" s="1"/>
      <c r="E5250" s="2"/>
    </row>
    <row r="5251" spans="2:5" x14ac:dyDescent="0.35">
      <c r="B5251" s="1"/>
    </row>
    <row r="5252" spans="2:5" x14ac:dyDescent="0.35">
      <c r="B5252" s="1"/>
    </row>
    <row r="5253" spans="2:5" x14ac:dyDescent="0.35">
      <c r="B5253" s="1"/>
      <c r="E5253" s="2"/>
    </row>
    <row r="5254" spans="2:5" x14ac:dyDescent="0.35">
      <c r="B5254" s="1"/>
      <c r="E5254" s="2"/>
    </row>
    <row r="5255" spans="2:5" x14ac:dyDescent="0.35">
      <c r="B5255" s="1"/>
    </row>
    <row r="5256" spans="2:5" x14ac:dyDescent="0.35">
      <c r="B5256" s="1"/>
      <c r="E5256" s="2"/>
    </row>
    <row r="5257" spans="2:5" x14ac:dyDescent="0.35">
      <c r="B5257" s="1"/>
    </row>
    <row r="5258" spans="2:5" x14ac:dyDescent="0.35">
      <c r="B5258" s="1"/>
      <c r="E5258" s="2"/>
    </row>
    <row r="5259" spans="2:5" x14ac:dyDescent="0.35">
      <c r="B5259" s="1"/>
    </row>
    <row r="5260" spans="2:5" x14ac:dyDescent="0.35">
      <c r="B5260" s="1"/>
      <c r="E5260" s="2"/>
    </row>
    <row r="5261" spans="2:5" x14ac:dyDescent="0.35">
      <c r="B5261" s="1"/>
    </row>
    <row r="5262" spans="2:5" x14ac:dyDescent="0.35">
      <c r="B5262" s="1"/>
      <c r="E5262" s="2"/>
    </row>
    <row r="5263" spans="2:5" x14ac:dyDescent="0.35">
      <c r="B5263" s="1"/>
    </row>
    <row r="5264" spans="2:5" x14ac:dyDescent="0.35">
      <c r="B5264" s="1"/>
    </row>
    <row r="5265" spans="2:5" x14ac:dyDescent="0.35">
      <c r="B5265" s="1"/>
      <c r="E5265" s="2"/>
    </row>
    <row r="5266" spans="2:5" x14ac:dyDescent="0.35">
      <c r="B5266" s="1"/>
      <c r="E5266" s="2"/>
    </row>
    <row r="5267" spans="2:5" x14ac:dyDescent="0.35">
      <c r="B5267" s="1"/>
    </row>
    <row r="5268" spans="2:5" x14ac:dyDescent="0.35">
      <c r="B5268" s="1"/>
      <c r="E5268" s="2"/>
    </row>
    <row r="5269" spans="2:5" x14ac:dyDescent="0.35">
      <c r="B5269" s="1"/>
      <c r="E5269" s="2"/>
    </row>
    <row r="5270" spans="2:5" x14ac:dyDescent="0.35">
      <c r="B5270" s="1"/>
      <c r="E5270" s="2"/>
    </row>
    <row r="5271" spans="2:5" x14ac:dyDescent="0.35">
      <c r="B5271" s="1"/>
      <c r="E5271" s="2"/>
    </row>
    <row r="5272" spans="2:5" x14ac:dyDescent="0.35">
      <c r="B5272" s="1"/>
      <c r="E5272" s="2"/>
    </row>
    <row r="5273" spans="2:5" x14ac:dyDescent="0.35">
      <c r="B5273" s="1"/>
      <c r="E5273" s="2"/>
    </row>
    <row r="5274" spans="2:5" x14ac:dyDescent="0.35">
      <c r="B5274" s="1"/>
    </row>
    <row r="5275" spans="2:5" x14ac:dyDescent="0.35">
      <c r="B5275" s="1"/>
      <c r="E5275" s="2"/>
    </row>
    <row r="5276" spans="2:5" x14ac:dyDescent="0.35">
      <c r="B5276" s="1"/>
      <c r="E5276" s="2"/>
    </row>
    <row r="5277" spans="2:5" x14ac:dyDescent="0.35">
      <c r="B5277" s="1"/>
      <c r="E5277" s="2"/>
    </row>
    <row r="5278" spans="2:5" x14ac:dyDescent="0.35">
      <c r="B5278" s="1"/>
    </row>
    <row r="5279" spans="2:5" x14ac:dyDescent="0.35">
      <c r="B5279" s="1"/>
      <c r="E5279" s="2"/>
    </row>
    <row r="5280" spans="2:5" x14ac:dyDescent="0.35">
      <c r="B5280" s="1"/>
      <c r="E5280" s="2"/>
    </row>
    <row r="5281" spans="2:5" x14ac:dyDescent="0.35">
      <c r="B5281" s="1"/>
      <c r="E5281" s="2"/>
    </row>
    <row r="5282" spans="2:5" x14ac:dyDescent="0.35">
      <c r="B5282" s="1"/>
      <c r="E5282" s="2"/>
    </row>
    <row r="5283" spans="2:5" x14ac:dyDescent="0.35">
      <c r="B5283" s="1"/>
    </row>
    <row r="5284" spans="2:5" x14ac:dyDescent="0.35">
      <c r="B5284" s="1"/>
    </row>
    <row r="5285" spans="2:5" x14ac:dyDescent="0.35">
      <c r="B5285" s="1"/>
    </row>
    <row r="5286" spans="2:5" x14ac:dyDescent="0.35">
      <c r="B5286" s="1"/>
      <c r="E5286" s="2"/>
    </row>
    <row r="5287" spans="2:5" x14ac:dyDescent="0.35">
      <c r="B5287" s="1"/>
    </row>
    <row r="5288" spans="2:5" x14ac:dyDescent="0.35">
      <c r="B5288" s="1"/>
      <c r="E5288" s="2"/>
    </row>
    <row r="5289" spans="2:5" x14ac:dyDescent="0.35">
      <c r="B5289" s="1"/>
      <c r="E5289" s="2"/>
    </row>
    <row r="5290" spans="2:5" x14ac:dyDescent="0.35">
      <c r="B5290" s="1"/>
    </row>
    <row r="5291" spans="2:5" x14ac:dyDescent="0.35">
      <c r="B5291" s="1"/>
    </row>
    <row r="5292" spans="2:5" x14ac:dyDescent="0.35">
      <c r="B5292" s="1"/>
      <c r="E5292" s="2"/>
    </row>
    <row r="5293" spans="2:5" x14ac:dyDescent="0.35">
      <c r="B5293" s="1"/>
    </row>
    <row r="5294" spans="2:5" x14ac:dyDescent="0.35">
      <c r="B5294" s="1"/>
      <c r="E5294" s="2"/>
    </row>
    <row r="5295" spans="2:5" x14ac:dyDescent="0.35">
      <c r="B5295" s="1"/>
    </row>
    <row r="5296" spans="2:5" x14ac:dyDescent="0.35">
      <c r="B5296" s="1"/>
    </row>
    <row r="5297" spans="2:5" x14ac:dyDescent="0.35">
      <c r="B5297" s="1"/>
      <c r="E5297" s="2"/>
    </row>
    <row r="5298" spans="2:5" x14ac:dyDescent="0.35">
      <c r="B5298" s="1"/>
      <c r="E5298" s="2"/>
    </row>
    <row r="5299" spans="2:5" x14ac:dyDescent="0.35">
      <c r="B5299" s="1"/>
    </row>
    <row r="5300" spans="2:5" x14ac:dyDescent="0.35">
      <c r="B5300" s="1"/>
    </row>
    <row r="5301" spans="2:5" x14ac:dyDescent="0.35">
      <c r="B5301" s="1"/>
      <c r="E5301" s="2"/>
    </row>
    <row r="5302" spans="2:5" x14ac:dyDescent="0.35">
      <c r="B5302" s="1"/>
      <c r="E5302" s="2"/>
    </row>
    <row r="5303" spans="2:5" x14ac:dyDescent="0.35">
      <c r="B5303" s="1"/>
      <c r="E5303" s="2"/>
    </row>
    <row r="5304" spans="2:5" x14ac:dyDescent="0.35">
      <c r="B5304" s="1"/>
      <c r="E5304" s="2"/>
    </row>
    <row r="5305" spans="2:5" x14ac:dyDescent="0.35">
      <c r="B5305" s="1"/>
      <c r="E5305" s="2"/>
    </row>
    <row r="5306" spans="2:5" x14ac:dyDescent="0.35">
      <c r="B5306" s="1"/>
      <c r="E5306" s="2"/>
    </row>
    <row r="5307" spans="2:5" x14ac:dyDescent="0.35">
      <c r="B5307" s="1"/>
    </row>
    <row r="5308" spans="2:5" x14ac:dyDescent="0.35">
      <c r="B5308" s="1"/>
      <c r="E5308" s="2"/>
    </row>
    <row r="5309" spans="2:5" x14ac:dyDescent="0.35">
      <c r="B5309" s="1"/>
    </row>
    <row r="5310" spans="2:5" x14ac:dyDescent="0.35">
      <c r="B5310" s="1"/>
    </row>
    <row r="5311" spans="2:5" x14ac:dyDescent="0.35">
      <c r="B5311" s="1"/>
      <c r="E5311" s="2"/>
    </row>
    <row r="5312" spans="2:5" x14ac:dyDescent="0.35">
      <c r="B5312" s="1"/>
      <c r="E5312" s="2"/>
    </row>
    <row r="5313" spans="2:5" x14ac:dyDescent="0.35">
      <c r="B5313" s="1"/>
    </row>
    <row r="5314" spans="2:5" x14ac:dyDescent="0.35">
      <c r="B5314" s="1"/>
      <c r="E5314" s="2"/>
    </row>
    <row r="5315" spans="2:5" x14ac:dyDescent="0.35">
      <c r="B5315" s="1"/>
      <c r="E5315" s="2"/>
    </row>
    <row r="5316" spans="2:5" x14ac:dyDescent="0.35">
      <c r="B5316" s="1"/>
      <c r="E5316" s="2"/>
    </row>
    <row r="5317" spans="2:5" x14ac:dyDescent="0.35">
      <c r="B5317" s="1"/>
      <c r="E5317" s="2"/>
    </row>
    <row r="5318" spans="2:5" x14ac:dyDescent="0.35">
      <c r="B5318" s="1"/>
      <c r="E5318" s="2"/>
    </row>
    <row r="5319" spans="2:5" x14ac:dyDescent="0.35">
      <c r="B5319" s="1"/>
      <c r="E5319" s="2"/>
    </row>
    <row r="5320" spans="2:5" x14ac:dyDescent="0.35">
      <c r="B5320" s="1"/>
      <c r="E5320" s="2"/>
    </row>
    <row r="5321" spans="2:5" x14ac:dyDescent="0.35">
      <c r="B5321" s="1"/>
      <c r="E5321" s="2"/>
    </row>
    <row r="5322" spans="2:5" x14ac:dyDescent="0.35">
      <c r="B5322" s="1"/>
    </row>
    <row r="5323" spans="2:5" x14ac:dyDescent="0.35">
      <c r="B5323" s="1"/>
      <c r="E5323" s="2"/>
    </row>
    <row r="5324" spans="2:5" x14ac:dyDescent="0.35">
      <c r="B5324" s="1"/>
      <c r="E5324" s="2"/>
    </row>
    <row r="5325" spans="2:5" x14ac:dyDescent="0.35">
      <c r="B5325" s="1"/>
      <c r="E5325" s="2"/>
    </row>
    <row r="5326" spans="2:5" x14ac:dyDescent="0.35">
      <c r="B5326" s="1"/>
      <c r="E5326" s="2"/>
    </row>
    <row r="5327" spans="2:5" x14ac:dyDescent="0.35">
      <c r="B5327" s="1"/>
    </row>
    <row r="5328" spans="2:5" x14ac:dyDescent="0.35">
      <c r="B5328" s="1"/>
      <c r="E5328" s="2"/>
    </row>
    <row r="5329" spans="2:5" x14ac:dyDescent="0.35">
      <c r="B5329" s="1"/>
      <c r="E5329" s="2"/>
    </row>
    <row r="5330" spans="2:5" x14ac:dyDescent="0.35">
      <c r="B5330" s="1"/>
    </row>
    <row r="5331" spans="2:5" x14ac:dyDescent="0.35">
      <c r="B5331" s="1"/>
      <c r="E5331" s="2"/>
    </row>
    <row r="5332" spans="2:5" x14ac:dyDescent="0.35">
      <c r="B5332" s="1"/>
    </row>
    <row r="5333" spans="2:5" x14ac:dyDescent="0.35">
      <c r="B5333" s="1"/>
    </row>
    <row r="5334" spans="2:5" x14ac:dyDescent="0.35">
      <c r="B5334" s="1"/>
      <c r="E5334" s="2"/>
    </row>
    <row r="5335" spans="2:5" x14ac:dyDescent="0.35">
      <c r="B5335" s="1"/>
      <c r="E5335" s="2"/>
    </row>
    <row r="5336" spans="2:5" x14ac:dyDescent="0.35">
      <c r="B5336" s="1"/>
    </row>
    <row r="5337" spans="2:5" x14ac:dyDescent="0.35">
      <c r="B5337" s="1"/>
      <c r="E5337" s="2"/>
    </row>
    <row r="5338" spans="2:5" x14ac:dyDescent="0.35">
      <c r="B5338" s="1"/>
      <c r="E5338" s="2"/>
    </row>
    <row r="5339" spans="2:5" x14ac:dyDescent="0.35">
      <c r="B5339" s="1"/>
    </row>
    <row r="5340" spans="2:5" x14ac:dyDescent="0.35">
      <c r="B5340" s="1"/>
    </row>
    <row r="5341" spans="2:5" x14ac:dyDescent="0.35">
      <c r="B5341" s="1"/>
      <c r="E5341" s="2"/>
    </row>
    <row r="5342" spans="2:5" x14ac:dyDescent="0.35">
      <c r="B5342" s="1"/>
    </row>
    <row r="5343" spans="2:5" x14ac:dyDescent="0.35">
      <c r="B5343" s="1"/>
    </row>
    <row r="5344" spans="2:5" x14ac:dyDescent="0.35">
      <c r="B5344" s="1"/>
    </row>
    <row r="5345" spans="2:5" x14ac:dyDescent="0.35">
      <c r="B5345" s="1"/>
    </row>
    <row r="5346" spans="2:5" x14ac:dyDescent="0.35">
      <c r="B5346" s="1"/>
      <c r="E5346" s="2"/>
    </row>
    <row r="5347" spans="2:5" x14ac:dyDescent="0.35">
      <c r="B5347" s="1"/>
    </row>
    <row r="5348" spans="2:5" x14ac:dyDescent="0.35">
      <c r="B5348" s="1"/>
    </row>
    <row r="5349" spans="2:5" x14ac:dyDescent="0.35">
      <c r="B5349" s="1"/>
    </row>
    <row r="5350" spans="2:5" x14ac:dyDescent="0.35">
      <c r="B5350" s="1"/>
      <c r="E5350" s="2"/>
    </row>
    <row r="5351" spans="2:5" x14ac:dyDescent="0.35">
      <c r="B5351" s="1"/>
      <c r="E5351" s="2"/>
    </row>
    <row r="5352" spans="2:5" x14ac:dyDescent="0.35">
      <c r="B5352" s="1"/>
      <c r="E5352" s="2"/>
    </row>
    <row r="5353" spans="2:5" x14ac:dyDescent="0.35">
      <c r="B5353" s="1"/>
      <c r="E5353" s="2"/>
    </row>
    <row r="5354" spans="2:5" x14ac:dyDescent="0.35">
      <c r="B5354" s="1"/>
      <c r="E5354" s="2"/>
    </row>
    <row r="5355" spans="2:5" x14ac:dyDescent="0.35">
      <c r="B5355" s="1"/>
      <c r="E5355" s="2"/>
    </row>
    <row r="5356" spans="2:5" x14ac:dyDescent="0.35">
      <c r="B5356" s="1"/>
      <c r="E5356" s="2"/>
    </row>
    <row r="5357" spans="2:5" x14ac:dyDescent="0.35">
      <c r="B5357" s="1"/>
    </row>
    <row r="5358" spans="2:5" x14ac:dyDescent="0.35">
      <c r="B5358" s="1"/>
    </row>
    <row r="5359" spans="2:5" x14ac:dyDescent="0.35">
      <c r="B5359" s="1"/>
    </row>
    <row r="5360" spans="2:5" x14ac:dyDescent="0.35">
      <c r="B5360" s="1"/>
    </row>
    <row r="5361" spans="2:5" x14ac:dyDescent="0.35">
      <c r="B5361" s="1"/>
      <c r="E5361" s="2"/>
    </row>
    <row r="5362" spans="2:5" x14ac:dyDescent="0.35">
      <c r="B5362" s="1"/>
      <c r="E5362" s="2"/>
    </row>
    <row r="5363" spans="2:5" x14ac:dyDescent="0.35">
      <c r="B5363" s="1"/>
      <c r="E5363" s="2"/>
    </row>
    <row r="5364" spans="2:5" x14ac:dyDescent="0.35">
      <c r="B5364" s="1"/>
      <c r="E5364" s="2"/>
    </row>
    <row r="5365" spans="2:5" x14ac:dyDescent="0.35">
      <c r="B5365" s="1"/>
    </row>
    <row r="5366" spans="2:5" x14ac:dyDescent="0.35">
      <c r="B5366" s="1"/>
      <c r="E5366" s="2"/>
    </row>
    <row r="5367" spans="2:5" x14ac:dyDescent="0.35">
      <c r="B5367" s="1"/>
      <c r="E5367" s="2"/>
    </row>
    <row r="5368" spans="2:5" x14ac:dyDescent="0.35">
      <c r="B5368" s="1"/>
    </row>
    <row r="5369" spans="2:5" x14ac:dyDescent="0.35">
      <c r="B5369" s="1"/>
    </row>
    <row r="5370" spans="2:5" x14ac:dyDescent="0.35">
      <c r="B5370" s="1"/>
    </row>
    <row r="5371" spans="2:5" x14ac:dyDescent="0.35">
      <c r="B5371" s="1"/>
      <c r="E5371" s="2"/>
    </row>
    <row r="5372" spans="2:5" x14ac:dyDescent="0.35">
      <c r="B5372" s="1"/>
    </row>
    <row r="5373" spans="2:5" x14ac:dyDescent="0.35">
      <c r="B5373" s="1"/>
      <c r="E5373" s="2"/>
    </row>
    <row r="5374" spans="2:5" x14ac:dyDescent="0.35">
      <c r="B5374" s="1"/>
      <c r="E5374" s="2"/>
    </row>
    <row r="5375" spans="2:5" x14ac:dyDescent="0.35">
      <c r="B5375" s="1"/>
      <c r="E5375" s="2"/>
    </row>
    <row r="5376" spans="2:5" x14ac:dyDescent="0.35">
      <c r="B5376" s="1"/>
    </row>
    <row r="5377" spans="2:5" x14ac:dyDescent="0.35">
      <c r="B5377" s="1"/>
      <c r="E5377" s="2"/>
    </row>
    <row r="5378" spans="2:5" x14ac:dyDescent="0.35">
      <c r="B5378" s="1"/>
    </row>
    <row r="5379" spans="2:5" x14ac:dyDescent="0.35">
      <c r="B5379" s="1"/>
    </row>
    <row r="5380" spans="2:5" x14ac:dyDescent="0.35">
      <c r="B5380" s="1"/>
      <c r="E5380" s="2"/>
    </row>
    <row r="5381" spans="2:5" x14ac:dyDescent="0.35">
      <c r="B5381" s="1"/>
      <c r="E5381" s="2"/>
    </row>
    <row r="5382" spans="2:5" x14ac:dyDescent="0.35">
      <c r="B5382" s="1"/>
    </row>
    <row r="5383" spans="2:5" x14ac:dyDescent="0.35">
      <c r="B5383" s="1"/>
      <c r="E5383" s="2"/>
    </row>
    <row r="5384" spans="2:5" x14ac:dyDescent="0.35">
      <c r="B5384" s="1"/>
      <c r="E5384" s="2"/>
    </row>
    <row r="5385" spans="2:5" x14ac:dyDescent="0.35">
      <c r="B5385" s="1"/>
      <c r="E5385" s="2"/>
    </row>
    <row r="5386" spans="2:5" x14ac:dyDescent="0.35">
      <c r="B5386" s="1"/>
    </row>
    <row r="5387" spans="2:5" x14ac:dyDescent="0.35">
      <c r="B5387" s="1"/>
    </row>
    <row r="5388" spans="2:5" x14ac:dyDescent="0.35">
      <c r="B5388" s="1"/>
    </row>
    <row r="5389" spans="2:5" x14ac:dyDescent="0.35">
      <c r="B5389" s="1"/>
      <c r="E5389" s="2"/>
    </row>
    <row r="5390" spans="2:5" x14ac:dyDescent="0.35">
      <c r="B5390" s="1"/>
      <c r="E5390" s="2"/>
    </row>
    <row r="5391" spans="2:5" x14ac:dyDescent="0.35">
      <c r="B5391" s="1"/>
      <c r="E5391" s="2"/>
    </row>
    <row r="5392" spans="2:5" x14ac:dyDescent="0.35">
      <c r="B5392" s="1"/>
      <c r="E5392" s="2"/>
    </row>
    <row r="5393" spans="2:5" x14ac:dyDescent="0.35">
      <c r="B5393" s="1"/>
    </row>
    <row r="5394" spans="2:5" x14ac:dyDescent="0.35">
      <c r="B5394" s="1"/>
      <c r="E5394" s="2"/>
    </row>
    <row r="5395" spans="2:5" x14ac:dyDescent="0.35">
      <c r="B5395" s="1"/>
      <c r="E5395" s="2"/>
    </row>
    <row r="5396" spans="2:5" x14ac:dyDescent="0.35">
      <c r="B5396" s="1"/>
      <c r="E5396" s="2"/>
    </row>
    <row r="5397" spans="2:5" x14ac:dyDescent="0.35">
      <c r="B5397" s="1"/>
      <c r="E5397" s="2"/>
    </row>
    <row r="5398" spans="2:5" x14ac:dyDescent="0.35">
      <c r="B5398" s="1"/>
    </row>
    <row r="5399" spans="2:5" x14ac:dyDescent="0.35">
      <c r="B5399" s="1"/>
    </row>
    <row r="5400" spans="2:5" x14ac:dyDescent="0.35">
      <c r="B5400" s="1"/>
      <c r="E5400" s="2"/>
    </row>
    <row r="5401" spans="2:5" x14ac:dyDescent="0.35">
      <c r="B5401" s="1"/>
      <c r="E5401" s="2"/>
    </row>
    <row r="5402" spans="2:5" x14ac:dyDescent="0.35">
      <c r="B5402" s="1"/>
      <c r="E5402" s="2"/>
    </row>
    <row r="5403" spans="2:5" x14ac:dyDescent="0.35">
      <c r="B5403" s="1"/>
    </row>
    <row r="5404" spans="2:5" x14ac:dyDescent="0.35">
      <c r="B5404" s="1"/>
    </row>
    <row r="5405" spans="2:5" x14ac:dyDescent="0.35">
      <c r="B5405" s="1"/>
      <c r="E5405" s="2"/>
    </row>
    <row r="5406" spans="2:5" x14ac:dyDescent="0.35">
      <c r="B5406" s="1"/>
      <c r="E5406" s="2"/>
    </row>
    <row r="5407" spans="2:5" x14ac:dyDescent="0.35">
      <c r="B5407" s="1"/>
      <c r="E5407" s="2"/>
    </row>
    <row r="5408" spans="2:5" x14ac:dyDescent="0.35">
      <c r="B5408" s="1"/>
    </row>
    <row r="5409" spans="2:5" x14ac:dyDescent="0.35">
      <c r="B5409" s="1"/>
      <c r="E5409" s="2"/>
    </row>
    <row r="5410" spans="2:5" x14ac:dyDescent="0.35">
      <c r="B5410" s="1"/>
      <c r="E5410" s="2"/>
    </row>
    <row r="5411" spans="2:5" x14ac:dyDescent="0.35">
      <c r="B5411" s="1"/>
    </row>
    <row r="5412" spans="2:5" x14ac:dyDescent="0.35">
      <c r="B5412" s="1"/>
      <c r="E5412" s="2"/>
    </row>
    <row r="5413" spans="2:5" x14ac:dyDescent="0.35">
      <c r="B5413" s="1"/>
    </row>
    <row r="5414" spans="2:5" x14ac:dyDescent="0.35">
      <c r="B5414" s="1"/>
    </row>
    <row r="5415" spans="2:5" x14ac:dyDescent="0.35">
      <c r="B5415" s="1"/>
      <c r="E5415" s="2"/>
    </row>
    <row r="5416" spans="2:5" x14ac:dyDescent="0.35">
      <c r="B5416" s="1"/>
      <c r="E5416" s="2"/>
    </row>
    <row r="5417" spans="2:5" x14ac:dyDescent="0.35">
      <c r="B5417" s="1"/>
      <c r="E5417" s="2"/>
    </row>
    <row r="5418" spans="2:5" x14ac:dyDescent="0.35">
      <c r="B5418" s="1"/>
      <c r="E5418" s="2"/>
    </row>
    <row r="5419" spans="2:5" x14ac:dyDescent="0.35">
      <c r="B5419" s="1"/>
    </row>
    <row r="5420" spans="2:5" x14ac:dyDescent="0.35">
      <c r="B5420" s="1"/>
      <c r="E5420" s="2"/>
    </row>
    <row r="5421" spans="2:5" x14ac:dyDescent="0.35">
      <c r="B5421" s="1"/>
    </row>
    <row r="5422" spans="2:5" x14ac:dyDescent="0.35">
      <c r="B5422" s="1"/>
    </row>
    <row r="5423" spans="2:5" x14ac:dyDescent="0.35">
      <c r="B5423" s="1"/>
    </row>
    <row r="5424" spans="2:5" x14ac:dyDescent="0.35">
      <c r="B5424" s="1"/>
      <c r="E5424" s="2"/>
    </row>
    <row r="5425" spans="2:5" x14ac:dyDescent="0.35">
      <c r="B5425" s="1"/>
    </row>
    <row r="5426" spans="2:5" x14ac:dyDescent="0.35">
      <c r="B5426" s="1"/>
    </row>
    <row r="5427" spans="2:5" x14ac:dyDescent="0.35">
      <c r="B5427" s="1"/>
    </row>
    <row r="5428" spans="2:5" x14ac:dyDescent="0.35">
      <c r="B5428" s="1"/>
      <c r="E5428" s="2"/>
    </row>
    <row r="5429" spans="2:5" x14ac:dyDescent="0.35">
      <c r="B5429" s="1"/>
      <c r="E5429" s="2"/>
    </row>
    <row r="5430" spans="2:5" x14ac:dyDescent="0.35">
      <c r="B5430" s="1"/>
    </row>
    <row r="5431" spans="2:5" x14ac:dyDescent="0.35">
      <c r="B5431" s="1"/>
      <c r="E5431" s="2"/>
    </row>
    <row r="5432" spans="2:5" x14ac:dyDescent="0.35">
      <c r="B5432" s="1"/>
      <c r="E5432" s="2"/>
    </row>
    <row r="5433" spans="2:5" x14ac:dyDescent="0.35">
      <c r="B5433" s="1"/>
      <c r="E5433" s="2"/>
    </row>
    <row r="5434" spans="2:5" x14ac:dyDescent="0.35">
      <c r="B5434" s="1"/>
    </row>
    <row r="5435" spans="2:5" x14ac:dyDescent="0.35">
      <c r="B5435" s="1"/>
      <c r="E5435" s="2"/>
    </row>
    <row r="5436" spans="2:5" x14ac:dyDescent="0.35">
      <c r="B5436" s="1"/>
      <c r="E5436" s="2"/>
    </row>
    <row r="5437" spans="2:5" x14ac:dyDescent="0.35">
      <c r="B5437" s="1"/>
      <c r="E5437" s="2"/>
    </row>
    <row r="5438" spans="2:5" x14ac:dyDescent="0.35">
      <c r="B5438" s="1"/>
    </row>
    <row r="5439" spans="2:5" x14ac:dyDescent="0.35">
      <c r="B5439" s="1"/>
    </row>
    <row r="5440" spans="2:5" x14ac:dyDescent="0.35">
      <c r="B5440" s="1"/>
      <c r="E5440" s="2"/>
    </row>
    <row r="5441" spans="2:5" x14ac:dyDescent="0.35">
      <c r="B5441" s="1"/>
    </row>
    <row r="5442" spans="2:5" x14ac:dyDescent="0.35">
      <c r="B5442" s="1"/>
      <c r="E5442" s="2"/>
    </row>
    <row r="5443" spans="2:5" x14ac:dyDescent="0.35">
      <c r="B5443" s="1"/>
      <c r="E5443" s="2"/>
    </row>
    <row r="5444" spans="2:5" x14ac:dyDescent="0.35">
      <c r="B5444" s="1"/>
    </row>
    <row r="5445" spans="2:5" x14ac:dyDescent="0.35">
      <c r="B5445" s="1"/>
      <c r="E5445" s="2"/>
    </row>
    <row r="5446" spans="2:5" x14ac:dyDescent="0.35">
      <c r="B5446" s="1"/>
      <c r="E5446" s="2"/>
    </row>
    <row r="5447" spans="2:5" x14ac:dyDescent="0.35">
      <c r="B5447" s="1"/>
      <c r="E5447" s="2"/>
    </row>
    <row r="5448" spans="2:5" x14ac:dyDescent="0.35">
      <c r="B5448" s="1"/>
      <c r="E5448" s="2"/>
    </row>
    <row r="5449" spans="2:5" x14ac:dyDescent="0.35">
      <c r="B5449" s="1"/>
    </row>
    <row r="5450" spans="2:5" x14ac:dyDescent="0.35">
      <c r="B5450" s="1"/>
      <c r="E5450" s="2"/>
    </row>
    <row r="5451" spans="2:5" x14ac:dyDescent="0.35">
      <c r="B5451" s="1"/>
    </row>
    <row r="5452" spans="2:5" x14ac:dyDescent="0.35">
      <c r="B5452" s="1"/>
    </row>
    <row r="5453" spans="2:5" x14ac:dyDescent="0.35">
      <c r="B5453" s="1"/>
    </row>
    <row r="5454" spans="2:5" x14ac:dyDescent="0.35">
      <c r="B5454" s="1"/>
    </row>
    <row r="5455" spans="2:5" x14ac:dyDescent="0.35">
      <c r="B5455" s="1"/>
      <c r="E5455" s="2"/>
    </row>
    <row r="5456" spans="2:5" x14ac:dyDescent="0.35">
      <c r="B5456" s="1"/>
      <c r="E5456" s="2"/>
    </row>
    <row r="5457" spans="2:5" x14ac:dyDescent="0.35">
      <c r="B5457" s="1"/>
      <c r="E5457" s="2"/>
    </row>
    <row r="5458" spans="2:5" x14ac:dyDescent="0.35">
      <c r="B5458" s="1"/>
      <c r="E5458" s="2"/>
    </row>
    <row r="5459" spans="2:5" x14ac:dyDescent="0.35">
      <c r="B5459" s="1"/>
      <c r="E5459" s="2"/>
    </row>
    <row r="5460" spans="2:5" x14ac:dyDescent="0.35">
      <c r="B5460" s="1"/>
      <c r="E5460" s="2"/>
    </row>
    <row r="5461" spans="2:5" x14ac:dyDescent="0.35">
      <c r="B5461" s="1"/>
      <c r="E5461" s="2"/>
    </row>
    <row r="5462" spans="2:5" x14ac:dyDescent="0.35">
      <c r="B5462" s="1"/>
      <c r="E5462" s="2"/>
    </row>
    <row r="5463" spans="2:5" x14ac:dyDescent="0.35">
      <c r="B5463" s="1"/>
    </row>
    <row r="5464" spans="2:5" x14ac:dyDescent="0.35">
      <c r="B5464" s="1"/>
    </row>
    <row r="5465" spans="2:5" x14ac:dyDescent="0.35">
      <c r="B5465" s="1"/>
    </row>
    <row r="5466" spans="2:5" x14ac:dyDescent="0.35">
      <c r="B5466" s="1"/>
      <c r="E5466" s="2"/>
    </row>
    <row r="5467" spans="2:5" x14ac:dyDescent="0.35">
      <c r="B5467" s="1"/>
    </row>
    <row r="5468" spans="2:5" x14ac:dyDescent="0.35">
      <c r="B5468" s="1"/>
    </row>
    <row r="5469" spans="2:5" x14ac:dyDescent="0.35">
      <c r="B5469" s="1"/>
      <c r="E5469" s="2"/>
    </row>
    <row r="5470" spans="2:5" x14ac:dyDescent="0.35">
      <c r="B5470" s="1"/>
      <c r="E5470" s="2"/>
    </row>
    <row r="5471" spans="2:5" x14ac:dyDescent="0.35">
      <c r="B5471" s="1"/>
      <c r="E5471" s="2"/>
    </row>
    <row r="5472" spans="2:5" x14ac:dyDescent="0.35">
      <c r="B5472" s="1"/>
      <c r="E5472" s="2"/>
    </row>
    <row r="5473" spans="2:5" x14ac:dyDescent="0.35">
      <c r="B5473" s="1"/>
    </row>
    <row r="5474" spans="2:5" x14ac:dyDescent="0.35">
      <c r="B5474" s="1"/>
      <c r="E5474" s="2"/>
    </row>
    <row r="5475" spans="2:5" x14ac:dyDescent="0.35">
      <c r="B5475" s="1"/>
    </row>
    <row r="5476" spans="2:5" x14ac:dyDescent="0.35">
      <c r="B5476" s="1"/>
      <c r="E5476" s="2"/>
    </row>
    <row r="5477" spans="2:5" x14ac:dyDescent="0.35">
      <c r="B5477" s="1"/>
    </row>
    <row r="5478" spans="2:5" x14ac:dyDescent="0.35">
      <c r="B5478" s="1"/>
    </row>
    <row r="5479" spans="2:5" x14ac:dyDescent="0.35">
      <c r="B5479" s="1"/>
    </row>
    <row r="5480" spans="2:5" x14ac:dyDescent="0.35">
      <c r="B5480" s="1"/>
      <c r="E5480" s="2"/>
    </row>
    <row r="5481" spans="2:5" x14ac:dyDescent="0.35">
      <c r="B5481" s="1"/>
      <c r="E5481" s="2"/>
    </row>
    <row r="5482" spans="2:5" x14ac:dyDescent="0.35">
      <c r="B5482" s="1"/>
      <c r="E5482" s="2"/>
    </row>
    <row r="5483" spans="2:5" x14ac:dyDescent="0.35">
      <c r="B5483" s="1"/>
      <c r="E5483" s="2"/>
    </row>
    <row r="5484" spans="2:5" x14ac:dyDescent="0.35">
      <c r="B5484" s="1"/>
      <c r="E5484" s="2"/>
    </row>
    <row r="5485" spans="2:5" x14ac:dyDescent="0.35">
      <c r="B5485" s="1"/>
      <c r="E5485" s="2"/>
    </row>
    <row r="5486" spans="2:5" x14ac:dyDescent="0.35">
      <c r="B5486" s="1"/>
      <c r="E5486" s="2"/>
    </row>
    <row r="5487" spans="2:5" x14ac:dyDescent="0.35">
      <c r="B5487" s="1"/>
    </row>
    <row r="5488" spans="2:5" x14ac:dyDescent="0.35">
      <c r="B5488" s="1"/>
    </row>
    <row r="5489" spans="2:5" x14ac:dyDescent="0.35">
      <c r="B5489" s="1"/>
    </row>
    <row r="5490" spans="2:5" x14ac:dyDescent="0.35">
      <c r="B5490" s="1"/>
    </row>
    <row r="5491" spans="2:5" x14ac:dyDescent="0.35">
      <c r="B5491" s="1"/>
    </row>
    <row r="5492" spans="2:5" x14ac:dyDescent="0.35">
      <c r="B5492" s="1"/>
      <c r="E5492" s="2"/>
    </row>
    <row r="5493" spans="2:5" x14ac:dyDescent="0.35">
      <c r="B5493" s="1"/>
      <c r="E5493" s="2"/>
    </row>
    <row r="5494" spans="2:5" x14ac:dyDescent="0.35">
      <c r="B5494" s="1"/>
      <c r="E5494" s="2"/>
    </row>
    <row r="5495" spans="2:5" x14ac:dyDescent="0.35">
      <c r="B5495" s="1"/>
    </row>
    <row r="5496" spans="2:5" x14ac:dyDescent="0.35">
      <c r="B5496" s="1"/>
      <c r="E5496" s="2"/>
    </row>
    <row r="5497" spans="2:5" x14ac:dyDescent="0.35">
      <c r="B5497" s="1"/>
    </row>
    <row r="5498" spans="2:5" x14ac:dyDescent="0.35">
      <c r="B5498" s="1"/>
    </row>
    <row r="5499" spans="2:5" x14ac:dyDescent="0.35">
      <c r="B5499" s="1"/>
    </row>
    <row r="5500" spans="2:5" x14ac:dyDescent="0.35">
      <c r="B5500" s="1"/>
    </row>
    <row r="5501" spans="2:5" x14ac:dyDescent="0.35">
      <c r="B5501" s="1"/>
    </row>
    <row r="5502" spans="2:5" x14ac:dyDescent="0.35">
      <c r="B5502" s="1"/>
      <c r="E5502" s="2"/>
    </row>
    <row r="5503" spans="2:5" x14ac:dyDescent="0.35">
      <c r="B5503" s="1"/>
      <c r="E5503" s="2"/>
    </row>
    <row r="5504" spans="2:5" x14ac:dyDescent="0.35">
      <c r="B5504" s="1"/>
    </row>
    <row r="5505" spans="2:5" x14ac:dyDescent="0.35">
      <c r="B5505" s="1"/>
      <c r="E5505" s="2"/>
    </row>
    <row r="5506" spans="2:5" x14ac:dyDescent="0.35">
      <c r="B5506" s="1"/>
      <c r="E5506" s="2"/>
    </row>
    <row r="5507" spans="2:5" x14ac:dyDescent="0.35">
      <c r="B5507" s="1"/>
      <c r="E5507" s="2"/>
    </row>
    <row r="5508" spans="2:5" x14ac:dyDescent="0.35">
      <c r="B5508" s="1"/>
      <c r="E5508" s="2"/>
    </row>
    <row r="5509" spans="2:5" x14ac:dyDescent="0.35">
      <c r="B5509" s="1"/>
    </row>
    <row r="5510" spans="2:5" x14ac:dyDescent="0.35">
      <c r="B5510" s="1"/>
      <c r="E5510" s="2"/>
    </row>
    <row r="5511" spans="2:5" x14ac:dyDescent="0.35">
      <c r="B5511" s="1"/>
    </row>
    <row r="5512" spans="2:5" x14ac:dyDescent="0.35">
      <c r="B5512" s="1"/>
    </row>
    <row r="5513" spans="2:5" x14ac:dyDescent="0.35">
      <c r="B5513" s="1"/>
    </row>
    <row r="5514" spans="2:5" x14ac:dyDescent="0.35">
      <c r="B5514" s="1"/>
    </row>
    <row r="5515" spans="2:5" x14ac:dyDescent="0.35">
      <c r="B5515" s="1"/>
    </row>
    <row r="5516" spans="2:5" x14ac:dyDescent="0.35">
      <c r="B5516" s="1"/>
      <c r="E5516" s="2"/>
    </row>
    <row r="5517" spans="2:5" x14ac:dyDescent="0.35">
      <c r="B5517" s="1"/>
      <c r="E5517" s="2"/>
    </row>
    <row r="5518" spans="2:5" x14ac:dyDescent="0.35">
      <c r="B5518" s="1"/>
    </row>
    <row r="5519" spans="2:5" x14ac:dyDescent="0.35">
      <c r="B5519" s="1"/>
      <c r="E5519" s="2"/>
    </row>
    <row r="5520" spans="2:5" x14ac:dyDescent="0.35">
      <c r="B5520" s="1"/>
    </row>
    <row r="5521" spans="2:5" x14ac:dyDescent="0.35">
      <c r="B5521" s="1"/>
      <c r="E5521" s="2"/>
    </row>
    <row r="5522" spans="2:5" x14ac:dyDescent="0.35">
      <c r="B5522" s="1"/>
      <c r="E5522" s="2"/>
    </row>
    <row r="5523" spans="2:5" x14ac:dyDescent="0.35">
      <c r="B5523" s="1"/>
      <c r="E5523" s="2"/>
    </row>
    <row r="5524" spans="2:5" x14ac:dyDescent="0.35">
      <c r="B5524" s="1"/>
      <c r="E5524" s="2"/>
    </row>
    <row r="5525" spans="2:5" x14ac:dyDescent="0.35">
      <c r="B5525" s="1"/>
    </row>
    <row r="5526" spans="2:5" x14ac:dyDescent="0.35">
      <c r="B5526" s="1"/>
      <c r="E5526" s="2"/>
    </row>
    <row r="5527" spans="2:5" x14ac:dyDescent="0.35">
      <c r="B5527" s="1"/>
      <c r="E5527" s="2"/>
    </row>
    <row r="5528" spans="2:5" x14ac:dyDescent="0.35">
      <c r="B5528" s="1"/>
      <c r="E5528" s="2"/>
    </row>
    <row r="5529" spans="2:5" x14ac:dyDescent="0.35">
      <c r="B5529" s="1"/>
      <c r="E5529" s="2"/>
    </row>
    <row r="5530" spans="2:5" x14ac:dyDescent="0.35">
      <c r="B5530" s="1"/>
    </row>
    <row r="5531" spans="2:5" x14ac:dyDescent="0.35">
      <c r="B5531" s="1"/>
      <c r="E5531" s="2"/>
    </row>
    <row r="5532" spans="2:5" x14ac:dyDescent="0.35">
      <c r="B5532" s="1"/>
      <c r="E5532" s="2"/>
    </row>
    <row r="5533" spans="2:5" x14ac:dyDescent="0.35">
      <c r="B5533" s="1"/>
    </row>
    <row r="5534" spans="2:5" x14ac:dyDescent="0.35">
      <c r="B5534" s="1"/>
      <c r="E5534" s="2"/>
    </row>
    <row r="5535" spans="2:5" x14ac:dyDescent="0.35">
      <c r="B5535" s="1"/>
    </row>
    <row r="5536" spans="2:5" x14ac:dyDescent="0.35">
      <c r="B5536" s="1"/>
      <c r="E5536" s="2"/>
    </row>
    <row r="5537" spans="2:5" x14ac:dyDescent="0.35">
      <c r="B5537" s="1"/>
      <c r="E5537" s="2"/>
    </row>
    <row r="5538" spans="2:5" x14ac:dyDescent="0.35">
      <c r="B5538" s="1"/>
    </row>
    <row r="5539" spans="2:5" x14ac:dyDescent="0.35">
      <c r="B5539" s="1"/>
      <c r="E5539" s="2"/>
    </row>
    <row r="5540" spans="2:5" x14ac:dyDescent="0.35">
      <c r="B5540" s="1"/>
      <c r="E5540" s="2"/>
    </row>
    <row r="5541" spans="2:5" x14ac:dyDescent="0.35">
      <c r="B5541" s="1"/>
    </row>
    <row r="5542" spans="2:5" x14ac:dyDescent="0.35">
      <c r="B5542" s="1"/>
    </row>
    <row r="5543" spans="2:5" x14ac:dyDescent="0.35">
      <c r="B5543" s="1"/>
      <c r="E5543" s="2"/>
    </row>
    <row r="5544" spans="2:5" x14ac:dyDescent="0.35">
      <c r="B5544" s="1"/>
    </row>
    <row r="5545" spans="2:5" x14ac:dyDescent="0.35">
      <c r="B5545" s="1"/>
      <c r="E5545" s="2"/>
    </row>
    <row r="5546" spans="2:5" x14ac:dyDescent="0.35">
      <c r="B5546" s="1"/>
      <c r="E5546" s="2"/>
    </row>
    <row r="5547" spans="2:5" x14ac:dyDescent="0.35">
      <c r="B5547" s="1"/>
    </row>
    <row r="5548" spans="2:5" x14ac:dyDescent="0.35">
      <c r="B5548" s="1"/>
      <c r="E5548" s="2"/>
    </row>
    <row r="5549" spans="2:5" x14ac:dyDescent="0.35">
      <c r="B5549" s="1"/>
      <c r="E5549" s="2"/>
    </row>
    <row r="5550" spans="2:5" x14ac:dyDescent="0.35">
      <c r="B5550" s="1"/>
      <c r="E5550" s="2"/>
    </row>
    <row r="5551" spans="2:5" x14ac:dyDescent="0.35">
      <c r="B5551" s="1"/>
      <c r="E5551" s="2"/>
    </row>
    <row r="5552" spans="2:5" x14ac:dyDescent="0.35">
      <c r="B5552" s="1"/>
      <c r="E5552" s="2"/>
    </row>
    <row r="5553" spans="2:5" x14ac:dyDescent="0.35">
      <c r="B5553" s="1"/>
      <c r="E5553" s="2"/>
    </row>
    <row r="5554" spans="2:5" x14ac:dyDescent="0.35">
      <c r="B5554" s="1"/>
      <c r="E5554" s="2"/>
    </row>
    <row r="5555" spans="2:5" x14ac:dyDescent="0.35">
      <c r="B5555" s="1"/>
      <c r="E5555" s="2"/>
    </row>
    <row r="5556" spans="2:5" x14ac:dyDescent="0.35">
      <c r="B5556" s="1"/>
    </row>
    <row r="5557" spans="2:5" x14ac:dyDescent="0.35">
      <c r="B5557" s="1"/>
      <c r="E5557" s="2"/>
    </row>
    <row r="5558" spans="2:5" x14ac:dyDescent="0.35">
      <c r="B5558" s="1"/>
      <c r="E5558" s="2"/>
    </row>
    <row r="5559" spans="2:5" x14ac:dyDescent="0.35">
      <c r="B5559" s="1"/>
      <c r="E5559" s="2"/>
    </row>
    <row r="5560" spans="2:5" x14ac:dyDescent="0.35">
      <c r="B5560" s="1"/>
    </row>
    <row r="5561" spans="2:5" x14ac:dyDescent="0.35">
      <c r="B5561" s="1"/>
      <c r="E5561" s="2"/>
    </row>
    <row r="5562" spans="2:5" x14ac:dyDescent="0.35">
      <c r="B5562" s="1"/>
      <c r="E5562" s="2"/>
    </row>
    <row r="5563" spans="2:5" x14ac:dyDescent="0.35">
      <c r="B5563" s="1"/>
    </row>
    <row r="5564" spans="2:5" x14ac:dyDescent="0.35">
      <c r="B5564" s="1"/>
    </row>
    <row r="5565" spans="2:5" x14ac:dyDescent="0.35">
      <c r="B5565" s="1"/>
    </row>
    <row r="5566" spans="2:5" x14ac:dyDescent="0.35">
      <c r="B5566" s="1"/>
    </row>
    <row r="5567" spans="2:5" x14ac:dyDescent="0.35">
      <c r="B5567" s="1"/>
    </row>
    <row r="5568" spans="2:5" x14ac:dyDescent="0.35">
      <c r="B5568" s="1"/>
      <c r="E5568" s="2"/>
    </row>
    <row r="5569" spans="2:5" x14ac:dyDescent="0.35">
      <c r="B5569" s="1"/>
    </row>
    <row r="5570" spans="2:5" x14ac:dyDescent="0.35">
      <c r="B5570" s="1"/>
    </row>
    <row r="5571" spans="2:5" x14ac:dyDescent="0.35">
      <c r="B5571" s="1"/>
    </row>
    <row r="5572" spans="2:5" x14ac:dyDescent="0.35">
      <c r="B5572" s="1"/>
      <c r="E5572" s="2"/>
    </row>
    <row r="5573" spans="2:5" x14ac:dyDescent="0.35">
      <c r="B5573" s="1"/>
    </row>
    <row r="5574" spans="2:5" x14ac:dyDescent="0.35">
      <c r="B5574" s="1"/>
    </row>
    <row r="5575" spans="2:5" x14ac:dyDescent="0.35">
      <c r="B5575" s="1"/>
      <c r="E5575" s="2"/>
    </row>
    <row r="5576" spans="2:5" x14ac:dyDescent="0.35">
      <c r="B5576" s="1"/>
    </row>
    <row r="5577" spans="2:5" x14ac:dyDescent="0.35">
      <c r="B5577" s="1"/>
    </row>
    <row r="5578" spans="2:5" x14ac:dyDescent="0.35">
      <c r="B5578" s="1"/>
      <c r="E5578" s="2"/>
    </row>
    <row r="5579" spans="2:5" x14ac:dyDescent="0.35">
      <c r="B5579" s="1"/>
    </row>
    <row r="5580" spans="2:5" x14ac:dyDescent="0.35">
      <c r="B5580" s="1"/>
    </row>
    <row r="5581" spans="2:5" x14ac:dyDescent="0.35">
      <c r="B5581" s="1"/>
    </row>
    <row r="5582" spans="2:5" x14ac:dyDescent="0.35">
      <c r="B5582" s="1"/>
    </row>
    <row r="5583" spans="2:5" x14ac:dyDescent="0.35">
      <c r="B5583" s="1"/>
    </row>
    <row r="5584" spans="2:5" x14ac:dyDescent="0.35">
      <c r="B5584" s="1"/>
    </row>
    <row r="5585" spans="2:5" x14ac:dyDescent="0.35">
      <c r="B5585" s="1"/>
    </row>
    <row r="5586" spans="2:5" x14ac:dyDescent="0.35">
      <c r="B5586" s="1"/>
      <c r="E5586" s="2"/>
    </row>
    <row r="5587" spans="2:5" x14ac:dyDescent="0.35">
      <c r="B5587" s="1"/>
      <c r="E5587" s="2"/>
    </row>
    <row r="5588" spans="2:5" x14ac:dyDescent="0.35">
      <c r="B5588" s="1"/>
      <c r="E5588" s="2"/>
    </row>
    <row r="5589" spans="2:5" x14ac:dyDescent="0.35">
      <c r="B5589" s="1"/>
      <c r="E5589" s="2"/>
    </row>
    <row r="5590" spans="2:5" x14ac:dyDescent="0.35">
      <c r="B5590" s="1"/>
    </row>
    <row r="5591" spans="2:5" x14ac:dyDescent="0.35">
      <c r="B5591" s="1"/>
      <c r="E5591" s="2"/>
    </row>
    <row r="5592" spans="2:5" x14ac:dyDescent="0.35">
      <c r="B5592" s="1"/>
      <c r="E5592" s="2"/>
    </row>
    <row r="5593" spans="2:5" x14ac:dyDescent="0.35">
      <c r="B5593" s="1"/>
      <c r="E5593" s="2"/>
    </row>
    <row r="5594" spans="2:5" x14ac:dyDescent="0.35">
      <c r="B5594" s="1"/>
      <c r="E5594" s="2"/>
    </row>
    <row r="5595" spans="2:5" x14ac:dyDescent="0.35">
      <c r="B5595" s="1"/>
      <c r="E5595" s="2"/>
    </row>
    <row r="5596" spans="2:5" x14ac:dyDescent="0.35">
      <c r="B5596" s="1"/>
      <c r="E5596" s="2"/>
    </row>
    <row r="5597" spans="2:5" x14ac:dyDescent="0.35">
      <c r="B5597" s="1"/>
    </row>
    <row r="5598" spans="2:5" x14ac:dyDescent="0.35">
      <c r="B5598" s="1"/>
    </row>
    <row r="5599" spans="2:5" x14ac:dyDescent="0.35">
      <c r="B5599" s="1"/>
    </row>
    <row r="5600" spans="2:5" x14ac:dyDescent="0.35">
      <c r="B5600" s="1"/>
      <c r="E5600" s="2"/>
    </row>
    <row r="5601" spans="2:5" x14ac:dyDescent="0.35">
      <c r="B5601" s="1"/>
    </row>
    <row r="5602" spans="2:5" x14ac:dyDescent="0.35">
      <c r="B5602" s="1"/>
      <c r="E5602" s="2"/>
    </row>
    <row r="5603" spans="2:5" x14ac:dyDescent="0.35">
      <c r="B5603" s="1"/>
      <c r="E5603" s="2"/>
    </row>
    <row r="5604" spans="2:5" x14ac:dyDescent="0.35">
      <c r="B5604" s="1"/>
      <c r="E5604" s="2"/>
    </row>
    <row r="5605" spans="2:5" x14ac:dyDescent="0.35">
      <c r="B5605" s="1"/>
      <c r="E5605" s="2"/>
    </row>
    <row r="5606" spans="2:5" x14ac:dyDescent="0.35">
      <c r="B5606" s="1"/>
    </row>
    <row r="5607" spans="2:5" x14ac:dyDescent="0.35">
      <c r="B5607" s="1"/>
      <c r="E5607" s="2"/>
    </row>
    <row r="5608" spans="2:5" x14ac:dyDescent="0.35">
      <c r="B5608" s="1"/>
    </row>
    <row r="5609" spans="2:5" x14ac:dyDescent="0.35">
      <c r="B5609" s="1"/>
    </row>
    <row r="5610" spans="2:5" x14ac:dyDescent="0.35">
      <c r="B5610" s="1"/>
    </row>
    <row r="5611" spans="2:5" x14ac:dyDescent="0.35">
      <c r="B5611" s="1"/>
    </row>
    <row r="5612" spans="2:5" x14ac:dyDescent="0.35">
      <c r="B5612" s="1"/>
    </row>
    <row r="5613" spans="2:5" x14ac:dyDescent="0.35">
      <c r="B5613" s="1"/>
    </row>
    <row r="5614" spans="2:5" x14ac:dyDescent="0.35">
      <c r="B5614" s="1"/>
    </row>
    <row r="5615" spans="2:5" x14ac:dyDescent="0.35">
      <c r="B5615" s="1"/>
    </row>
    <row r="5616" spans="2:5" x14ac:dyDescent="0.35">
      <c r="B5616" s="1"/>
      <c r="E5616" s="2"/>
    </row>
    <row r="5617" spans="2:5" x14ac:dyDescent="0.35">
      <c r="B5617" s="1"/>
      <c r="E5617" s="2"/>
    </row>
    <row r="5618" spans="2:5" x14ac:dyDescent="0.35">
      <c r="B5618" s="1"/>
    </row>
    <row r="5619" spans="2:5" x14ac:dyDescent="0.35">
      <c r="B5619" s="1"/>
    </row>
    <row r="5620" spans="2:5" x14ac:dyDescent="0.35">
      <c r="B5620" s="1"/>
    </row>
    <row r="5621" spans="2:5" x14ac:dyDescent="0.35">
      <c r="B5621" s="1"/>
      <c r="E5621" s="2"/>
    </row>
    <row r="5622" spans="2:5" x14ac:dyDescent="0.35">
      <c r="B5622" s="1"/>
    </row>
    <row r="5623" spans="2:5" x14ac:dyDescent="0.35">
      <c r="B5623" s="1"/>
      <c r="E5623" s="2"/>
    </row>
    <row r="5624" spans="2:5" x14ac:dyDescent="0.35">
      <c r="B5624" s="1"/>
      <c r="E5624" s="2"/>
    </row>
    <row r="5625" spans="2:5" x14ac:dyDescent="0.35">
      <c r="B5625" s="1"/>
    </row>
    <row r="5626" spans="2:5" x14ac:dyDescent="0.35">
      <c r="B5626" s="1"/>
      <c r="E5626" s="2"/>
    </row>
    <row r="5627" spans="2:5" x14ac:dyDescent="0.35">
      <c r="B5627" s="1"/>
      <c r="E5627" s="2"/>
    </row>
    <row r="5628" spans="2:5" x14ac:dyDescent="0.35">
      <c r="B5628" s="1"/>
    </row>
    <row r="5629" spans="2:5" x14ac:dyDescent="0.35">
      <c r="B5629" s="1"/>
      <c r="E5629" s="2"/>
    </row>
    <row r="5630" spans="2:5" x14ac:dyDescent="0.35">
      <c r="B5630" s="1"/>
      <c r="E5630" s="2"/>
    </row>
    <row r="5631" spans="2:5" x14ac:dyDescent="0.35">
      <c r="B5631" s="1"/>
    </row>
    <row r="5632" spans="2:5" x14ac:dyDescent="0.35">
      <c r="B5632" s="1"/>
      <c r="E5632" s="2"/>
    </row>
    <row r="5633" spans="2:5" x14ac:dyDescent="0.35">
      <c r="B5633" s="1"/>
    </row>
    <row r="5634" spans="2:5" x14ac:dyDescent="0.35">
      <c r="B5634" s="1"/>
    </row>
    <row r="5635" spans="2:5" x14ac:dyDescent="0.35">
      <c r="B5635" s="1"/>
      <c r="E5635" s="2"/>
    </row>
    <row r="5636" spans="2:5" x14ac:dyDescent="0.35">
      <c r="B5636" s="1"/>
    </row>
    <row r="5637" spans="2:5" x14ac:dyDescent="0.35">
      <c r="B5637" s="1"/>
      <c r="E5637" s="2"/>
    </row>
    <row r="5638" spans="2:5" x14ac:dyDescent="0.35">
      <c r="B5638" s="1"/>
    </row>
    <row r="5639" spans="2:5" x14ac:dyDescent="0.35">
      <c r="B5639" s="1"/>
      <c r="E5639" s="2"/>
    </row>
    <row r="5640" spans="2:5" x14ac:dyDescent="0.35">
      <c r="B5640" s="1"/>
      <c r="E5640" s="2"/>
    </row>
    <row r="5641" spans="2:5" x14ac:dyDescent="0.35">
      <c r="B5641" s="1"/>
      <c r="E5641" s="2"/>
    </row>
    <row r="5642" spans="2:5" x14ac:dyDescent="0.35">
      <c r="B5642" s="1"/>
    </row>
    <row r="5643" spans="2:5" x14ac:dyDescent="0.35">
      <c r="B5643" s="1"/>
    </row>
    <row r="5644" spans="2:5" x14ac:dyDescent="0.35">
      <c r="B5644" s="1"/>
      <c r="E5644" s="2"/>
    </row>
    <row r="5645" spans="2:5" x14ac:dyDescent="0.35">
      <c r="B5645" s="1"/>
      <c r="E5645" s="2"/>
    </row>
    <row r="5646" spans="2:5" x14ac:dyDescent="0.35">
      <c r="B5646" s="1"/>
    </row>
    <row r="5647" spans="2:5" x14ac:dyDescent="0.35">
      <c r="B5647" s="1"/>
      <c r="E5647" s="2"/>
    </row>
    <row r="5648" spans="2:5" x14ac:dyDescent="0.35">
      <c r="B5648" s="1"/>
      <c r="E5648" s="2"/>
    </row>
    <row r="5649" spans="2:5" x14ac:dyDescent="0.35">
      <c r="B5649" s="1"/>
    </row>
    <row r="5650" spans="2:5" x14ac:dyDescent="0.35">
      <c r="B5650" s="1"/>
    </row>
    <row r="5651" spans="2:5" x14ac:dyDescent="0.35">
      <c r="B5651" s="1"/>
    </row>
    <row r="5652" spans="2:5" x14ac:dyDescent="0.35">
      <c r="B5652" s="1"/>
    </row>
    <row r="5653" spans="2:5" x14ac:dyDescent="0.35">
      <c r="B5653" s="1"/>
      <c r="E5653" s="2"/>
    </row>
    <row r="5654" spans="2:5" x14ac:dyDescent="0.35">
      <c r="B5654" s="1"/>
      <c r="E5654" s="2"/>
    </row>
    <row r="5655" spans="2:5" x14ac:dyDescent="0.35">
      <c r="B5655" s="1"/>
      <c r="E5655" s="2"/>
    </row>
    <row r="5656" spans="2:5" x14ac:dyDescent="0.35">
      <c r="B5656" s="1"/>
      <c r="E5656" s="2"/>
    </row>
    <row r="5657" spans="2:5" x14ac:dyDescent="0.35">
      <c r="B5657" s="1"/>
      <c r="E5657" s="2"/>
    </row>
    <row r="5658" spans="2:5" x14ac:dyDescent="0.35">
      <c r="B5658" s="1"/>
      <c r="E5658" s="2"/>
    </row>
    <row r="5659" spans="2:5" x14ac:dyDescent="0.35">
      <c r="B5659" s="1"/>
    </row>
    <row r="5660" spans="2:5" x14ac:dyDescent="0.35">
      <c r="B5660" s="1"/>
      <c r="E5660" s="2"/>
    </row>
    <row r="5661" spans="2:5" x14ac:dyDescent="0.35">
      <c r="B5661" s="1"/>
    </row>
    <row r="5662" spans="2:5" x14ac:dyDescent="0.35">
      <c r="B5662" s="1"/>
    </row>
    <row r="5663" spans="2:5" x14ac:dyDescent="0.35">
      <c r="B5663" s="1"/>
      <c r="E5663" s="2"/>
    </row>
    <row r="5664" spans="2:5" x14ac:dyDescent="0.35">
      <c r="B5664" s="1"/>
      <c r="E5664" s="2"/>
    </row>
    <row r="5665" spans="2:5" x14ac:dyDescent="0.35">
      <c r="B5665" s="1"/>
    </row>
    <row r="5666" spans="2:5" x14ac:dyDescent="0.35">
      <c r="B5666" s="1"/>
    </row>
    <row r="5667" spans="2:5" x14ac:dyDescent="0.35">
      <c r="B5667" s="1"/>
      <c r="E5667" s="2"/>
    </row>
    <row r="5668" spans="2:5" x14ac:dyDescent="0.35">
      <c r="B5668" s="1"/>
      <c r="E5668" s="2"/>
    </row>
    <row r="5669" spans="2:5" x14ac:dyDescent="0.35">
      <c r="B5669" s="1"/>
    </row>
    <row r="5670" spans="2:5" x14ac:dyDescent="0.35">
      <c r="B5670" s="1"/>
    </row>
    <row r="5671" spans="2:5" x14ac:dyDescent="0.35">
      <c r="B5671" s="1"/>
    </row>
    <row r="5672" spans="2:5" x14ac:dyDescent="0.35">
      <c r="B5672" s="1"/>
      <c r="E5672" s="2"/>
    </row>
    <row r="5673" spans="2:5" x14ac:dyDescent="0.35">
      <c r="B5673" s="1"/>
    </row>
    <row r="5674" spans="2:5" x14ac:dyDescent="0.35">
      <c r="B5674" s="1"/>
    </row>
    <row r="5675" spans="2:5" x14ac:dyDescent="0.35">
      <c r="B5675" s="1"/>
      <c r="E5675" s="2"/>
    </row>
    <row r="5676" spans="2:5" x14ac:dyDescent="0.35">
      <c r="B5676" s="1"/>
      <c r="E5676" s="2"/>
    </row>
    <row r="5677" spans="2:5" x14ac:dyDescent="0.35">
      <c r="B5677" s="1"/>
    </row>
    <row r="5678" spans="2:5" x14ac:dyDescent="0.35">
      <c r="B5678" s="1"/>
    </row>
    <row r="5679" spans="2:5" x14ac:dyDescent="0.35">
      <c r="B5679" s="1"/>
      <c r="E5679" s="2"/>
    </row>
    <row r="5680" spans="2:5" x14ac:dyDescent="0.35">
      <c r="B5680" s="1"/>
      <c r="E5680" s="2"/>
    </row>
    <row r="5681" spans="2:5" x14ac:dyDescent="0.35">
      <c r="B5681" s="1"/>
      <c r="E5681" s="2"/>
    </row>
    <row r="5682" spans="2:5" x14ac:dyDescent="0.35">
      <c r="B5682" s="1"/>
    </row>
    <row r="5683" spans="2:5" x14ac:dyDescent="0.35">
      <c r="B5683" s="1"/>
    </row>
    <row r="5684" spans="2:5" x14ac:dyDescent="0.35">
      <c r="B5684" s="1"/>
      <c r="E5684" s="2"/>
    </row>
    <row r="5685" spans="2:5" x14ac:dyDescent="0.35">
      <c r="B5685" s="1"/>
      <c r="E5685" s="2"/>
    </row>
    <row r="5686" spans="2:5" x14ac:dyDescent="0.35">
      <c r="B5686" s="1"/>
      <c r="E5686" s="2"/>
    </row>
    <row r="5687" spans="2:5" x14ac:dyDescent="0.35">
      <c r="B5687" s="1"/>
    </row>
    <row r="5688" spans="2:5" x14ac:dyDescent="0.35">
      <c r="B5688" s="1"/>
      <c r="E5688" s="2"/>
    </row>
    <row r="5689" spans="2:5" x14ac:dyDescent="0.35">
      <c r="B5689" s="1"/>
    </row>
    <row r="5690" spans="2:5" x14ac:dyDescent="0.35">
      <c r="B5690" s="1"/>
      <c r="E5690" s="2"/>
    </row>
    <row r="5691" spans="2:5" x14ac:dyDescent="0.35">
      <c r="B5691" s="1"/>
      <c r="E5691" s="2"/>
    </row>
    <row r="5692" spans="2:5" x14ac:dyDescent="0.35">
      <c r="B5692" s="1"/>
      <c r="E5692" s="2"/>
    </row>
    <row r="5693" spans="2:5" x14ac:dyDescent="0.35">
      <c r="B5693" s="1"/>
    </row>
    <row r="5694" spans="2:5" x14ac:dyDescent="0.35">
      <c r="B5694" s="1"/>
      <c r="E5694" s="2"/>
    </row>
    <row r="5695" spans="2:5" x14ac:dyDescent="0.35">
      <c r="B5695" s="1"/>
      <c r="E5695" s="2"/>
    </row>
    <row r="5696" spans="2:5" x14ac:dyDescent="0.35">
      <c r="B5696" s="1"/>
      <c r="E5696" s="2"/>
    </row>
    <row r="5697" spans="2:5" x14ac:dyDescent="0.35">
      <c r="B5697" s="1"/>
      <c r="E5697" s="2"/>
    </row>
    <row r="5698" spans="2:5" x14ac:dyDescent="0.35">
      <c r="B5698" s="1"/>
    </row>
    <row r="5699" spans="2:5" x14ac:dyDescent="0.35">
      <c r="B5699" s="1"/>
      <c r="E5699" s="2"/>
    </row>
    <row r="5700" spans="2:5" x14ac:dyDescent="0.35">
      <c r="B5700" s="1"/>
    </row>
    <row r="5701" spans="2:5" x14ac:dyDescent="0.35">
      <c r="B5701" s="1"/>
      <c r="E5701" s="2"/>
    </row>
    <row r="5702" spans="2:5" x14ac:dyDescent="0.35">
      <c r="B5702" s="1"/>
    </row>
    <row r="5703" spans="2:5" x14ac:dyDescent="0.35">
      <c r="B5703" s="1"/>
      <c r="E5703" s="2"/>
    </row>
    <row r="5704" spans="2:5" x14ac:dyDescent="0.35">
      <c r="B5704" s="1"/>
    </row>
    <row r="5705" spans="2:5" x14ac:dyDescent="0.35">
      <c r="B5705" s="1"/>
      <c r="E5705" s="2"/>
    </row>
    <row r="5706" spans="2:5" x14ac:dyDescent="0.35">
      <c r="B5706" s="1"/>
      <c r="E5706" s="2"/>
    </row>
    <row r="5707" spans="2:5" x14ac:dyDescent="0.35">
      <c r="B5707" s="1"/>
    </row>
    <row r="5708" spans="2:5" x14ac:dyDescent="0.35">
      <c r="B5708" s="1"/>
      <c r="E5708" s="2"/>
    </row>
    <row r="5709" spans="2:5" x14ac:dyDescent="0.35">
      <c r="B5709" s="1"/>
      <c r="E5709" s="2"/>
    </row>
    <row r="5710" spans="2:5" x14ac:dyDescent="0.35">
      <c r="B5710" s="1"/>
      <c r="E5710" s="2"/>
    </row>
    <row r="5711" spans="2:5" x14ac:dyDescent="0.35">
      <c r="B5711" s="1"/>
    </row>
    <row r="5712" spans="2:5" x14ac:dyDescent="0.35">
      <c r="B5712" s="1"/>
      <c r="E5712" s="2"/>
    </row>
    <row r="5713" spans="2:5" x14ac:dyDescent="0.35">
      <c r="B5713" s="1"/>
      <c r="E5713" s="2"/>
    </row>
    <row r="5714" spans="2:5" x14ac:dyDescent="0.35">
      <c r="B5714" s="1"/>
    </row>
    <row r="5715" spans="2:5" x14ac:dyDescent="0.35">
      <c r="B5715" s="1"/>
      <c r="E5715" s="2"/>
    </row>
    <row r="5716" spans="2:5" x14ac:dyDescent="0.35">
      <c r="B5716" s="1"/>
      <c r="E5716" s="2"/>
    </row>
    <row r="5717" spans="2:5" x14ac:dyDescent="0.35">
      <c r="B5717" s="1"/>
    </row>
    <row r="5718" spans="2:5" x14ac:dyDescent="0.35">
      <c r="B5718" s="1"/>
      <c r="E5718" s="2"/>
    </row>
    <row r="5719" spans="2:5" x14ac:dyDescent="0.35">
      <c r="B5719" s="1"/>
    </row>
    <row r="5720" spans="2:5" x14ac:dyDescent="0.35">
      <c r="B5720" s="1"/>
      <c r="E5720" s="2"/>
    </row>
    <row r="5721" spans="2:5" x14ac:dyDescent="0.35">
      <c r="B5721" s="1"/>
    </row>
    <row r="5722" spans="2:5" x14ac:dyDescent="0.35">
      <c r="B5722" s="1"/>
      <c r="E5722" s="2"/>
    </row>
    <row r="5723" spans="2:5" x14ac:dyDescent="0.35">
      <c r="B5723" s="1"/>
      <c r="E5723" s="2"/>
    </row>
    <row r="5724" spans="2:5" x14ac:dyDescent="0.35">
      <c r="B5724" s="1"/>
      <c r="E5724" s="2"/>
    </row>
    <row r="5725" spans="2:5" x14ac:dyDescent="0.35">
      <c r="B5725" s="1"/>
      <c r="E5725" s="2"/>
    </row>
    <row r="5726" spans="2:5" x14ac:dyDescent="0.35">
      <c r="B5726" s="1"/>
      <c r="E5726" s="2"/>
    </row>
    <row r="5727" spans="2:5" x14ac:dyDescent="0.35">
      <c r="B5727" s="1"/>
    </row>
    <row r="5728" spans="2:5" x14ac:dyDescent="0.35">
      <c r="B5728" s="1"/>
    </row>
    <row r="5729" spans="2:5" x14ac:dyDescent="0.35">
      <c r="B5729" s="1"/>
      <c r="E5729" s="2"/>
    </row>
    <row r="5730" spans="2:5" x14ac:dyDescent="0.35">
      <c r="B5730" s="1"/>
    </row>
    <row r="5731" spans="2:5" x14ac:dyDescent="0.35">
      <c r="B5731" s="1"/>
      <c r="E5731" s="2"/>
    </row>
    <row r="5732" spans="2:5" x14ac:dyDescent="0.35">
      <c r="B5732" s="1"/>
      <c r="E5732" s="2"/>
    </row>
    <row r="5733" spans="2:5" x14ac:dyDescent="0.35">
      <c r="B5733" s="1"/>
      <c r="E5733" s="2"/>
    </row>
    <row r="5734" spans="2:5" x14ac:dyDescent="0.35">
      <c r="B5734" s="1"/>
      <c r="E5734" s="2"/>
    </row>
    <row r="5735" spans="2:5" x14ac:dyDescent="0.35">
      <c r="B5735" s="1"/>
      <c r="E5735" s="2"/>
    </row>
    <row r="5736" spans="2:5" x14ac:dyDescent="0.35">
      <c r="B5736" s="1"/>
    </row>
    <row r="5737" spans="2:5" x14ac:dyDescent="0.35">
      <c r="B5737" s="1"/>
      <c r="E5737" s="2"/>
    </row>
    <row r="5738" spans="2:5" x14ac:dyDescent="0.35">
      <c r="B5738" s="1"/>
      <c r="E5738" s="2"/>
    </row>
    <row r="5739" spans="2:5" x14ac:dyDescent="0.35">
      <c r="B5739" s="1"/>
    </row>
    <row r="5740" spans="2:5" x14ac:dyDescent="0.35">
      <c r="B5740" s="1"/>
      <c r="E5740" s="2"/>
    </row>
    <row r="5741" spans="2:5" x14ac:dyDescent="0.35">
      <c r="B5741" s="1"/>
      <c r="E5741" s="2"/>
    </row>
    <row r="5742" spans="2:5" x14ac:dyDescent="0.35">
      <c r="B5742" s="1"/>
      <c r="E5742" s="2"/>
    </row>
    <row r="5743" spans="2:5" x14ac:dyDescent="0.35">
      <c r="B5743" s="1"/>
      <c r="E5743" s="2"/>
    </row>
    <row r="5744" spans="2:5" x14ac:dyDescent="0.35">
      <c r="B5744" s="1"/>
      <c r="E5744" s="2"/>
    </row>
    <row r="5745" spans="2:5" x14ac:dyDescent="0.35">
      <c r="B5745" s="1"/>
      <c r="E5745" s="2"/>
    </row>
    <row r="5746" spans="2:5" x14ac:dyDescent="0.35">
      <c r="B5746" s="1"/>
    </row>
    <row r="5747" spans="2:5" x14ac:dyDescent="0.35">
      <c r="B5747" s="1"/>
      <c r="E5747" s="2"/>
    </row>
    <row r="5748" spans="2:5" x14ac:dyDescent="0.35">
      <c r="B5748" s="1"/>
    </row>
    <row r="5749" spans="2:5" x14ac:dyDescent="0.35">
      <c r="B5749" s="1"/>
    </row>
    <row r="5750" spans="2:5" x14ac:dyDescent="0.35">
      <c r="B5750" s="1"/>
      <c r="E5750" s="2"/>
    </row>
    <row r="5751" spans="2:5" x14ac:dyDescent="0.35">
      <c r="B5751" s="1"/>
      <c r="E5751" s="2"/>
    </row>
    <row r="5752" spans="2:5" x14ac:dyDescent="0.35">
      <c r="B5752" s="1"/>
    </row>
    <row r="5753" spans="2:5" x14ac:dyDescent="0.35">
      <c r="B5753" s="1"/>
      <c r="E5753" s="2"/>
    </row>
    <row r="5754" spans="2:5" x14ac:dyDescent="0.35">
      <c r="B5754" s="1"/>
      <c r="E5754" s="2"/>
    </row>
    <row r="5755" spans="2:5" x14ac:dyDescent="0.35">
      <c r="B5755" s="1"/>
      <c r="E5755" s="2"/>
    </row>
    <row r="5756" spans="2:5" x14ac:dyDescent="0.35">
      <c r="B5756" s="1"/>
    </row>
    <row r="5757" spans="2:5" x14ac:dyDescent="0.35">
      <c r="B5757" s="1"/>
    </row>
    <row r="5758" spans="2:5" x14ac:dyDescent="0.35">
      <c r="B5758" s="1"/>
    </row>
    <row r="5759" spans="2:5" x14ac:dyDescent="0.35">
      <c r="B5759" s="1"/>
      <c r="E5759" s="2"/>
    </row>
    <row r="5760" spans="2:5" x14ac:dyDescent="0.35">
      <c r="B5760" s="1"/>
      <c r="E5760" s="2"/>
    </row>
    <row r="5761" spans="2:5" x14ac:dyDescent="0.35">
      <c r="B5761" s="1"/>
    </row>
    <row r="5762" spans="2:5" x14ac:dyDescent="0.35">
      <c r="B5762" s="1"/>
    </row>
    <row r="5763" spans="2:5" x14ac:dyDescent="0.35">
      <c r="B5763" s="1"/>
      <c r="E5763" s="2"/>
    </row>
    <row r="5764" spans="2:5" x14ac:dyDescent="0.35">
      <c r="B5764" s="1"/>
      <c r="E5764" s="2"/>
    </row>
    <row r="5765" spans="2:5" x14ac:dyDescent="0.35">
      <c r="B5765" s="1"/>
      <c r="E5765" s="2"/>
    </row>
    <row r="5766" spans="2:5" x14ac:dyDescent="0.35">
      <c r="B5766" s="1"/>
      <c r="E5766" s="2"/>
    </row>
    <row r="5767" spans="2:5" x14ac:dyDescent="0.35">
      <c r="B5767" s="1"/>
    </row>
    <row r="5768" spans="2:5" x14ac:dyDescent="0.35">
      <c r="B5768" s="1"/>
    </row>
    <row r="5769" spans="2:5" x14ac:dyDescent="0.35">
      <c r="B5769" s="1"/>
    </row>
    <row r="5770" spans="2:5" x14ac:dyDescent="0.35">
      <c r="B5770" s="1"/>
    </row>
    <row r="5771" spans="2:5" x14ac:dyDescent="0.35">
      <c r="B5771" s="1"/>
    </row>
    <row r="5772" spans="2:5" x14ac:dyDescent="0.35">
      <c r="B5772" s="1"/>
      <c r="E5772" s="2"/>
    </row>
    <row r="5773" spans="2:5" x14ac:dyDescent="0.35">
      <c r="B5773" s="1"/>
    </row>
    <row r="5774" spans="2:5" x14ac:dyDescent="0.35">
      <c r="B5774" s="1"/>
    </row>
    <row r="5775" spans="2:5" x14ac:dyDescent="0.35">
      <c r="B5775" s="1"/>
      <c r="E5775" s="2"/>
    </row>
    <row r="5776" spans="2:5" x14ac:dyDescent="0.35">
      <c r="B5776" s="1"/>
    </row>
    <row r="5777" spans="2:5" x14ac:dyDescent="0.35">
      <c r="B5777" s="1"/>
      <c r="E5777" s="2"/>
    </row>
    <row r="5778" spans="2:5" x14ac:dyDescent="0.35">
      <c r="B5778" s="1"/>
    </row>
    <row r="5779" spans="2:5" x14ac:dyDescent="0.35">
      <c r="B5779" s="1"/>
      <c r="E5779" s="2"/>
    </row>
    <row r="5780" spans="2:5" x14ac:dyDescent="0.35">
      <c r="B5780" s="1"/>
      <c r="E5780" s="2"/>
    </row>
    <row r="5781" spans="2:5" x14ac:dyDescent="0.35">
      <c r="B5781" s="1"/>
      <c r="E5781" s="2"/>
    </row>
    <row r="5782" spans="2:5" x14ac:dyDescent="0.35">
      <c r="B5782" s="1"/>
      <c r="E5782" s="2"/>
    </row>
    <row r="5783" spans="2:5" x14ac:dyDescent="0.35">
      <c r="B5783" s="1"/>
      <c r="E5783" s="2"/>
    </row>
    <row r="5784" spans="2:5" x14ac:dyDescent="0.35">
      <c r="B5784" s="1"/>
    </row>
    <row r="5785" spans="2:5" x14ac:dyDescent="0.35">
      <c r="B5785" s="1"/>
      <c r="E5785" s="2"/>
    </row>
    <row r="5786" spans="2:5" x14ac:dyDescent="0.35">
      <c r="B5786" s="1"/>
      <c r="E5786" s="2"/>
    </row>
    <row r="5787" spans="2:5" x14ac:dyDescent="0.35">
      <c r="B5787" s="1"/>
      <c r="E5787" s="2"/>
    </row>
    <row r="5788" spans="2:5" x14ac:dyDescent="0.35">
      <c r="B5788" s="1"/>
      <c r="E5788" s="2"/>
    </row>
    <row r="5789" spans="2:5" x14ac:dyDescent="0.35">
      <c r="B5789" s="1"/>
      <c r="E5789" s="2"/>
    </row>
    <row r="5790" spans="2:5" x14ac:dyDescent="0.35">
      <c r="B5790" s="1"/>
      <c r="E5790" s="2"/>
    </row>
    <row r="5791" spans="2:5" x14ac:dyDescent="0.35">
      <c r="B5791" s="1"/>
    </row>
    <row r="5792" spans="2:5" x14ac:dyDescent="0.35">
      <c r="B5792" s="1"/>
      <c r="E5792" s="2"/>
    </row>
    <row r="5793" spans="2:5" x14ac:dyDescent="0.35">
      <c r="B5793" s="1"/>
    </row>
    <row r="5794" spans="2:5" x14ac:dyDescent="0.35">
      <c r="B5794" s="1"/>
    </row>
    <row r="5795" spans="2:5" x14ac:dyDescent="0.35">
      <c r="B5795" s="1"/>
    </row>
    <row r="5796" spans="2:5" x14ac:dyDescent="0.35">
      <c r="B5796" s="1"/>
    </row>
    <row r="5797" spans="2:5" x14ac:dyDescent="0.35">
      <c r="B5797" s="1"/>
      <c r="E5797" s="2"/>
    </row>
    <row r="5798" spans="2:5" x14ac:dyDescent="0.35">
      <c r="B5798" s="1"/>
    </row>
    <row r="5799" spans="2:5" x14ac:dyDescent="0.35">
      <c r="B5799" s="1"/>
      <c r="E5799" s="2"/>
    </row>
    <row r="5800" spans="2:5" x14ac:dyDescent="0.35">
      <c r="B5800" s="1"/>
    </row>
    <row r="5801" spans="2:5" x14ac:dyDescent="0.35">
      <c r="B5801" s="1"/>
      <c r="E5801" s="2"/>
    </row>
    <row r="5802" spans="2:5" x14ac:dyDescent="0.35">
      <c r="B5802" s="1"/>
      <c r="E5802" s="2"/>
    </row>
    <row r="5803" spans="2:5" x14ac:dyDescent="0.35">
      <c r="B5803" s="1"/>
    </row>
    <row r="5804" spans="2:5" x14ac:dyDescent="0.35">
      <c r="B5804" s="1"/>
    </row>
    <row r="5805" spans="2:5" x14ac:dyDescent="0.35">
      <c r="B5805" s="1"/>
    </row>
    <row r="5806" spans="2:5" x14ac:dyDescent="0.35">
      <c r="B5806" s="1"/>
      <c r="E5806" s="2"/>
    </row>
    <row r="5807" spans="2:5" x14ac:dyDescent="0.35">
      <c r="B5807" s="1"/>
    </row>
    <row r="5808" spans="2:5" x14ac:dyDescent="0.35">
      <c r="B5808" s="1"/>
    </row>
    <row r="5809" spans="2:5" x14ac:dyDescent="0.35">
      <c r="B5809" s="1"/>
    </row>
    <row r="5810" spans="2:5" x14ac:dyDescent="0.35">
      <c r="B5810" s="1"/>
    </row>
    <row r="5811" spans="2:5" x14ac:dyDescent="0.35">
      <c r="B5811" s="1"/>
    </row>
    <row r="5812" spans="2:5" x14ac:dyDescent="0.35">
      <c r="B5812" s="1"/>
      <c r="E5812" s="2"/>
    </row>
    <row r="5813" spans="2:5" x14ac:dyDescent="0.35">
      <c r="B5813" s="1"/>
    </row>
    <row r="5814" spans="2:5" x14ac:dyDescent="0.35">
      <c r="B5814" s="1"/>
    </row>
    <row r="5815" spans="2:5" x14ac:dyDescent="0.35">
      <c r="B5815" s="1"/>
      <c r="E5815" s="2"/>
    </row>
    <row r="5816" spans="2:5" x14ac:dyDescent="0.35">
      <c r="B5816" s="1"/>
      <c r="E5816" s="2"/>
    </row>
    <row r="5817" spans="2:5" x14ac:dyDescent="0.35">
      <c r="B5817" s="1"/>
    </row>
    <row r="5818" spans="2:5" x14ac:dyDescent="0.35">
      <c r="B5818" s="1"/>
    </row>
    <row r="5819" spans="2:5" x14ac:dyDescent="0.35">
      <c r="B5819" s="1"/>
      <c r="E5819" s="2"/>
    </row>
    <row r="5820" spans="2:5" x14ac:dyDescent="0.35">
      <c r="B5820" s="1"/>
      <c r="E5820" s="2"/>
    </row>
    <row r="5821" spans="2:5" x14ac:dyDescent="0.35">
      <c r="B5821" s="1"/>
      <c r="E5821" s="2"/>
    </row>
    <row r="5822" spans="2:5" x14ac:dyDescent="0.35">
      <c r="B5822" s="1"/>
    </row>
    <row r="5823" spans="2:5" x14ac:dyDescent="0.35">
      <c r="B5823" s="1"/>
      <c r="E5823" s="2"/>
    </row>
    <row r="5824" spans="2:5" x14ac:dyDescent="0.35">
      <c r="B5824" s="1"/>
      <c r="E5824" s="2"/>
    </row>
    <row r="5825" spans="2:5" x14ac:dyDescent="0.35">
      <c r="B5825" s="1"/>
      <c r="E5825" s="2"/>
    </row>
    <row r="5826" spans="2:5" x14ac:dyDescent="0.35">
      <c r="B5826" s="1"/>
    </row>
    <row r="5827" spans="2:5" x14ac:dyDescent="0.35">
      <c r="B5827" s="1"/>
      <c r="E5827" s="2"/>
    </row>
    <row r="5828" spans="2:5" x14ac:dyDescent="0.35">
      <c r="B5828" s="1"/>
    </row>
    <row r="5829" spans="2:5" x14ac:dyDescent="0.35">
      <c r="B5829" s="1"/>
    </row>
    <row r="5830" spans="2:5" x14ac:dyDescent="0.35">
      <c r="B5830" s="1"/>
    </row>
    <row r="5831" spans="2:5" x14ac:dyDescent="0.35">
      <c r="B5831" s="1"/>
      <c r="E5831" s="2"/>
    </row>
    <row r="5832" spans="2:5" x14ac:dyDescent="0.35">
      <c r="B5832" s="1"/>
    </row>
    <row r="5833" spans="2:5" x14ac:dyDescent="0.35">
      <c r="B5833" s="1"/>
    </row>
    <row r="5834" spans="2:5" x14ac:dyDescent="0.35">
      <c r="B5834" s="1"/>
    </row>
    <row r="5835" spans="2:5" x14ac:dyDescent="0.35">
      <c r="B5835" s="1"/>
    </row>
    <row r="5836" spans="2:5" x14ac:dyDescent="0.35">
      <c r="B5836" s="1"/>
      <c r="E5836" s="2"/>
    </row>
    <row r="5837" spans="2:5" x14ac:dyDescent="0.35">
      <c r="B5837" s="1"/>
      <c r="E5837" s="2"/>
    </row>
    <row r="5838" spans="2:5" x14ac:dyDescent="0.35">
      <c r="B5838" s="1"/>
      <c r="E5838" s="2"/>
    </row>
    <row r="5839" spans="2:5" x14ac:dyDescent="0.35">
      <c r="B5839" s="1"/>
    </row>
    <row r="5840" spans="2:5" x14ac:dyDescent="0.35">
      <c r="B5840" s="1"/>
    </row>
    <row r="5841" spans="2:5" x14ac:dyDescent="0.35">
      <c r="B5841" s="1"/>
    </row>
    <row r="5842" spans="2:5" x14ac:dyDescent="0.35">
      <c r="B5842" s="1"/>
      <c r="E5842" s="2"/>
    </row>
    <row r="5843" spans="2:5" x14ac:dyDescent="0.35">
      <c r="B5843" s="1"/>
    </row>
    <row r="5844" spans="2:5" x14ac:dyDescent="0.35">
      <c r="B5844" s="1"/>
      <c r="E5844" s="2"/>
    </row>
    <row r="5845" spans="2:5" x14ac:dyDescent="0.35">
      <c r="B5845" s="1"/>
    </row>
    <row r="5846" spans="2:5" x14ac:dyDescent="0.35">
      <c r="B5846" s="1"/>
    </row>
    <row r="5847" spans="2:5" x14ac:dyDescent="0.35">
      <c r="B5847" s="1"/>
      <c r="E5847" s="2"/>
    </row>
    <row r="5848" spans="2:5" x14ac:dyDescent="0.35">
      <c r="B5848" s="1"/>
      <c r="E5848" s="2"/>
    </row>
    <row r="5849" spans="2:5" x14ac:dyDescent="0.35">
      <c r="B5849" s="1"/>
    </row>
    <row r="5850" spans="2:5" x14ac:dyDescent="0.35">
      <c r="B5850" s="1"/>
    </row>
    <row r="5851" spans="2:5" x14ac:dyDescent="0.35">
      <c r="B5851" s="1"/>
    </row>
    <row r="5852" spans="2:5" x14ac:dyDescent="0.35">
      <c r="B5852" s="1"/>
    </row>
    <row r="5853" spans="2:5" x14ac:dyDescent="0.35">
      <c r="B5853" s="1"/>
      <c r="E5853" s="2"/>
    </row>
    <row r="5854" spans="2:5" x14ac:dyDescent="0.35">
      <c r="B5854" s="1"/>
      <c r="E5854" s="2"/>
    </row>
    <row r="5855" spans="2:5" x14ac:dyDescent="0.35">
      <c r="B5855" s="1"/>
    </row>
    <row r="5856" spans="2:5" x14ac:dyDescent="0.35">
      <c r="B5856" s="1"/>
    </row>
    <row r="5857" spans="2:5" x14ac:dyDescent="0.35">
      <c r="B5857" s="1"/>
    </row>
    <row r="5858" spans="2:5" x14ac:dyDescent="0.35">
      <c r="B5858" s="1"/>
      <c r="E5858" s="2"/>
    </row>
    <row r="5859" spans="2:5" x14ac:dyDescent="0.35">
      <c r="B5859" s="1"/>
    </row>
    <row r="5860" spans="2:5" x14ac:dyDescent="0.35">
      <c r="B5860" s="1"/>
      <c r="E5860" s="2"/>
    </row>
    <row r="5861" spans="2:5" x14ac:dyDescent="0.35">
      <c r="B5861" s="1"/>
      <c r="E5861" s="2"/>
    </row>
    <row r="5862" spans="2:5" x14ac:dyDescent="0.35">
      <c r="B5862" s="1"/>
      <c r="E5862" s="2"/>
    </row>
    <row r="5863" spans="2:5" x14ac:dyDescent="0.35">
      <c r="B5863" s="1"/>
      <c r="E5863" s="2"/>
    </row>
    <row r="5864" spans="2:5" x14ac:dyDescent="0.35">
      <c r="B5864" s="1"/>
    </row>
    <row r="5865" spans="2:5" x14ac:dyDescent="0.35">
      <c r="B5865" s="1"/>
      <c r="E5865" s="2"/>
    </row>
    <row r="5866" spans="2:5" x14ac:dyDescent="0.35">
      <c r="B5866" s="1"/>
    </row>
    <row r="5867" spans="2:5" x14ac:dyDescent="0.35">
      <c r="B5867" s="1"/>
      <c r="E5867" s="2"/>
    </row>
    <row r="5868" spans="2:5" x14ac:dyDescent="0.35">
      <c r="B5868" s="1"/>
      <c r="E5868" s="2"/>
    </row>
    <row r="5869" spans="2:5" x14ac:dyDescent="0.35">
      <c r="B5869" s="1"/>
    </row>
    <row r="5870" spans="2:5" x14ac:dyDescent="0.35">
      <c r="B5870" s="1"/>
      <c r="E5870" s="2"/>
    </row>
    <row r="5871" spans="2:5" x14ac:dyDescent="0.35">
      <c r="B5871" s="1"/>
      <c r="E5871" s="2"/>
    </row>
    <row r="5872" spans="2:5" x14ac:dyDescent="0.35">
      <c r="B5872" s="1"/>
    </row>
    <row r="5873" spans="2:5" x14ac:dyDescent="0.35">
      <c r="B5873" s="1"/>
      <c r="E5873" s="2"/>
    </row>
    <row r="5874" spans="2:5" x14ac:dyDescent="0.35">
      <c r="B5874" s="1"/>
    </row>
    <row r="5875" spans="2:5" x14ac:dyDescent="0.35">
      <c r="B5875" s="1"/>
      <c r="E5875" s="2"/>
    </row>
    <row r="5876" spans="2:5" x14ac:dyDescent="0.35">
      <c r="B5876" s="1"/>
    </row>
    <row r="5877" spans="2:5" x14ac:dyDescent="0.35">
      <c r="B5877" s="1"/>
      <c r="E5877" s="2"/>
    </row>
    <row r="5878" spans="2:5" x14ac:dyDescent="0.35">
      <c r="B5878" s="1"/>
      <c r="E5878" s="2"/>
    </row>
    <row r="5879" spans="2:5" x14ac:dyDescent="0.35">
      <c r="B5879" s="1"/>
    </row>
    <row r="5880" spans="2:5" x14ac:dyDescent="0.35">
      <c r="B5880" s="1"/>
      <c r="E5880" s="2"/>
    </row>
    <row r="5881" spans="2:5" x14ac:dyDescent="0.35">
      <c r="B5881" s="1"/>
      <c r="E5881" s="2"/>
    </row>
    <row r="5882" spans="2:5" x14ac:dyDescent="0.35">
      <c r="B5882" s="1"/>
    </row>
    <row r="5883" spans="2:5" x14ac:dyDescent="0.35">
      <c r="B5883" s="1"/>
    </row>
    <row r="5884" spans="2:5" x14ac:dyDescent="0.35">
      <c r="B5884" s="1"/>
    </row>
    <row r="5885" spans="2:5" x14ac:dyDescent="0.35">
      <c r="B5885" s="1"/>
      <c r="E5885" s="2"/>
    </row>
    <row r="5886" spans="2:5" x14ac:dyDescent="0.35">
      <c r="B5886" s="1"/>
    </row>
    <row r="5887" spans="2:5" x14ac:dyDescent="0.35">
      <c r="B5887" s="1"/>
      <c r="E5887" s="2"/>
    </row>
    <row r="5888" spans="2:5" x14ac:dyDescent="0.35">
      <c r="B5888" s="1"/>
      <c r="E5888" s="2"/>
    </row>
    <row r="5889" spans="2:5" x14ac:dyDescent="0.35">
      <c r="B5889" s="1"/>
      <c r="E5889" s="2"/>
    </row>
    <row r="5890" spans="2:5" x14ac:dyDescent="0.35">
      <c r="B5890" s="1"/>
      <c r="E5890" s="2"/>
    </row>
    <row r="5891" spans="2:5" x14ac:dyDescent="0.35">
      <c r="B5891" s="1"/>
    </row>
    <row r="5892" spans="2:5" x14ac:dyDescent="0.35">
      <c r="B5892" s="1"/>
      <c r="E5892" s="2"/>
    </row>
    <row r="5893" spans="2:5" x14ac:dyDescent="0.35">
      <c r="B5893" s="1"/>
      <c r="E5893" s="2"/>
    </row>
    <row r="5894" spans="2:5" x14ac:dyDescent="0.35">
      <c r="B5894" s="1"/>
      <c r="E5894" s="2"/>
    </row>
    <row r="5895" spans="2:5" x14ac:dyDescent="0.35">
      <c r="B5895" s="1"/>
      <c r="E5895" s="2"/>
    </row>
    <row r="5896" spans="2:5" x14ac:dyDescent="0.35">
      <c r="B5896" s="1"/>
    </row>
    <row r="5897" spans="2:5" x14ac:dyDescent="0.35">
      <c r="B5897" s="1"/>
    </row>
    <row r="5898" spans="2:5" x14ac:dyDescent="0.35">
      <c r="B5898" s="1"/>
    </row>
    <row r="5899" spans="2:5" x14ac:dyDescent="0.35">
      <c r="B5899" s="1"/>
      <c r="E5899" s="2"/>
    </row>
    <row r="5900" spans="2:5" x14ac:dyDescent="0.35">
      <c r="B5900" s="1"/>
    </row>
    <row r="5901" spans="2:5" x14ac:dyDescent="0.35">
      <c r="B5901" s="1"/>
      <c r="E5901" s="2"/>
    </row>
    <row r="5902" spans="2:5" x14ac:dyDescent="0.35">
      <c r="B5902" s="1"/>
      <c r="E5902" s="2"/>
    </row>
    <row r="5903" spans="2:5" x14ac:dyDescent="0.35">
      <c r="B5903" s="1"/>
    </row>
    <row r="5904" spans="2:5" x14ac:dyDescent="0.35">
      <c r="B5904" s="1"/>
    </row>
    <row r="5905" spans="2:5" x14ac:dyDescent="0.35">
      <c r="B5905" s="1"/>
      <c r="E5905" s="2"/>
    </row>
    <row r="5906" spans="2:5" x14ac:dyDescent="0.35">
      <c r="B5906" s="1"/>
      <c r="E5906" s="2"/>
    </row>
    <row r="5907" spans="2:5" x14ac:dyDescent="0.35">
      <c r="B5907" s="1"/>
    </row>
    <row r="5908" spans="2:5" x14ac:dyDescent="0.35">
      <c r="B5908" s="1"/>
    </row>
    <row r="5909" spans="2:5" x14ac:dyDescent="0.35">
      <c r="B5909" s="1"/>
    </row>
    <row r="5910" spans="2:5" x14ac:dyDescent="0.35">
      <c r="B5910" s="1"/>
    </row>
    <row r="5911" spans="2:5" x14ac:dyDescent="0.35">
      <c r="B5911" s="1"/>
    </row>
    <row r="5912" spans="2:5" x14ac:dyDescent="0.35">
      <c r="B5912" s="1"/>
    </row>
    <row r="5913" spans="2:5" x14ac:dyDescent="0.35">
      <c r="B5913" s="1"/>
    </row>
    <row r="5914" spans="2:5" x14ac:dyDescent="0.35">
      <c r="B5914" s="1"/>
      <c r="E5914" s="2"/>
    </row>
    <row r="5915" spans="2:5" x14ac:dyDescent="0.35">
      <c r="B5915" s="1"/>
    </row>
    <row r="5916" spans="2:5" x14ac:dyDescent="0.35">
      <c r="B5916" s="1"/>
      <c r="E5916" s="2"/>
    </row>
    <row r="5917" spans="2:5" x14ac:dyDescent="0.35">
      <c r="B5917" s="1"/>
    </row>
    <row r="5918" spans="2:5" x14ac:dyDescent="0.35">
      <c r="B5918" s="1"/>
      <c r="E5918" s="2"/>
    </row>
    <row r="5919" spans="2:5" x14ac:dyDescent="0.35">
      <c r="B5919" s="1"/>
      <c r="E5919" s="2"/>
    </row>
    <row r="5920" spans="2:5" x14ac:dyDescent="0.35">
      <c r="B5920" s="1"/>
      <c r="E5920" s="2"/>
    </row>
    <row r="5921" spans="2:5" x14ac:dyDescent="0.35">
      <c r="B5921" s="1"/>
      <c r="E5921" s="2"/>
    </row>
    <row r="5922" spans="2:5" x14ac:dyDescent="0.35">
      <c r="B5922" s="1"/>
      <c r="E5922" s="2"/>
    </row>
    <row r="5923" spans="2:5" x14ac:dyDescent="0.35">
      <c r="B5923" s="1"/>
      <c r="E5923" s="2"/>
    </row>
    <row r="5924" spans="2:5" x14ac:dyDescent="0.35">
      <c r="B5924" s="1"/>
    </row>
    <row r="5925" spans="2:5" x14ac:dyDescent="0.35">
      <c r="B5925" s="1"/>
      <c r="E5925" s="2"/>
    </row>
    <row r="5926" spans="2:5" x14ac:dyDescent="0.35">
      <c r="B5926" s="1"/>
    </row>
    <row r="5927" spans="2:5" x14ac:dyDescent="0.35">
      <c r="B5927" s="1"/>
      <c r="E5927" s="2"/>
    </row>
    <row r="5928" spans="2:5" x14ac:dyDescent="0.35">
      <c r="B5928" s="1"/>
      <c r="E5928" s="2"/>
    </row>
    <row r="5929" spans="2:5" x14ac:dyDescent="0.35">
      <c r="B5929" s="1"/>
      <c r="E5929" s="2"/>
    </row>
    <row r="5930" spans="2:5" x14ac:dyDescent="0.35">
      <c r="B5930" s="1"/>
      <c r="E5930" s="2"/>
    </row>
    <row r="5931" spans="2:5" x14ac:dyDescent="0.35">
      <c r="B5931" s="1"/>
    </row>
    <row r="5932" spans="2:5" x14ac:dyDescent="0.35">
      <c r="B5932" s="1"/>
      <c r="E5932" s="2"/>
    </row>
    <row r="5933" spans="2:5" x14ac:dyDescent="0.35">
      <c r="B5933" s="1"/>
    </row>
    <row r="5934" spans="2:5" x14ac:dyDescent="0.35">
      <c r="B5934" s="1"/>
      <c r="E5934" s="2"/>
    </row>
    <row r="5935" spans="2:5" x14ac:dyDescent="0.35">
      <c r="B5935" s="1"/>
    </row>
    <row r="5936" spans="2:5" x14ac:dyDescent="0.35">
      <c r="B5936" s="1"/>
    </row>
    <row r="5937" spans="2:5" x14ac:dyDescent="0.35">
      <c r="B5937" s="1"/>
    </row>
    <row r="5938" spans="2:5" x14ac:dyDescent="0.35">
      <c r="B5938" s="1"/>
      <c r="E5938" s="2"/>
    </row>
    <row r="5939" spans="2:5" x14ac:dyDescent="0.35">
      <c r="B5939" s="1"/>
      <c r="E5939" s="2"/>
    </row>
    <row r="5940" spans="2:5" x14ac:dyDescent="0.35">
      <c r="B5940" s="1"/>
      <c r="E5940" s="2"/>
    </row>
    <row r="5941" spans="2:5" x14ac:dyDescent="0.35">
      <c r="B5941" s="1"/>
    </row>
    <row r="5942" spans="2:5" x14ac:dyDescent="0.35">
      <c r="B5942" s="1"/>
    </row>
    <row r="5943" spans="2:5" x14ac:dyDescent="0.35">
      <c r="B5943" s="1"/>
      <c r="E5943" s="2"/>
    </row>
    <row r="5944" spans="2:5" x14ac:dyDescent="0.35">
      <c r="B5944" s="1"/>
      <c r="E5944" s="2"/>
    </row>
    <row r="5945" spans="2:5" x14ac:dyDescent="0.35">
      <c r="B5945" s="1"/>
    </row>
    <row r="5946" spans="2:5" x14ac:dyDescent="0.35">
      <c r="B5946" s="1"/>
    </row>
    <row r="5947" spans="2:5" x14ac:dyDescent="0.35">
      <c r="B5947" s="1"/>
      <c r="E5947" s="2"/>
    </row>
    <row r="5948" spans="2:5" x14ac:dyDescent="0.35">
      <c r="B5948" s="1"/>
      <c r="E5948" s="2"/>
    </row>
    <row r="5949" spans="2:5" x14ac:dyDescent="0.35">
      <c r="B5949" s="1"/>
      <c r="E5949" s="2"/>
    </row>
    <row r="5950" spans="2:5" x14ac:dyDescent="0.35">
      <c r="B5950" s="1"/>
    </row>
    <row r="5951" spans="2:5" x14ac:dyDescent="0.35">
      <c r="B5951" s="1"/>
      <c r="E5951" s="2"/>
    </row>
    <row r="5952" spans="2:5" x14ac:dyDescent="0.35">
      <c r="B5952" s="1"/>
      <c r="E5952" s="2"/>
    </row>
    <row r="5953" spans="2:5" x14ac:dyDescent="0.35">
      <c r="B5953" s="1"/>
      <c r="E5953" s="2"/>
    </row>
    <row r="5954" spans="2:5" x14ac:dyDescent="0.35">
      <c r="B5954" s="1"/>
      <c r="E5954" s="2"/>
    </row>
    <row r="5955" spans="2:5" x14ac:dyDescent="0.35">
      <c r="B5955" s="1"/>
    </row>
    <row r="5956" spans="2:5" x14ac:dyDescent="0.35">
      <c r="B5956" s="1"/>
    </row>
    <row r="5957" spans="2:5" x14ac:dyDescent="0.35">
      <c r="B5957" s="1"/>
      <c r="E5957" s="2"/>
    </row>
    <row r="5958" spans="2:5" x14ac:dyDescent="0.35">
      <c r="B5958" s="1"/>
      <c r="E5958" s="2"/>
    </row>
    <row r="5959" spans="2:5" x14ac:dyDescent="0.35">
      <c r="B5959" s="1"/>
    </row>
    <row r="5960" spans="2:5" x14ac:dyDescent="0.35">
      <c r="B5960" s="1"/>
      <c r="E5960" s="2"/>
    </row>
    <row r="5961" spans="2:5" x14ac:dyDescent="0.35">
      <c r="B5961" s="1"/>
      <c r="E5961" s="2"/>
    </row>
    <row r="5962" spans="2:5" x14ac:dyDescent="0.35">
      <c r="B5962" s="1"/>
      <c r="E5962" s="2"/>
    </row>
    <row r="5963" spans="2:5" x14ac:dyDescent="0.35">
      <c r="B5963" s="1"/>
      <c r="E5963" s="2"/>
    </row>
    <row r="5964" spans="2:5" x14ac:dyDescent="0.35">
      <c r="B5964" s="1"/>
    </row>
    <row r="5965" spans="2:5" x14ac:dyDescent="0.35">
      <c r="B5965" s="1"/>
    </row>
    <row r="5966" spans="2:5" x14ac:dyDescent="0.35">
      <c r="B5966" s="1"/>
      <c r="E5966" s="2"/>
    </row>
    <row r="5967" spans="2:5" x14ac:dyDescent="0.35">
      <c r="B5967" s="1"/>
    </row>
    <row r="5968" spans="2:5" x14ac:dyDescent="0.35">
      <c r="B5968" s="1"/>
      <c r="E5968" s="2"/>
    </row>
    <row r="5969" spans="2:5" x14ac:dyDescent="0.35">
      <c r="B5969" s="1"/>
      <c r="E5969" s="2"/>
    </row>
    <row r="5970" spans="2:5" x14ac:dyDescent="0.35">
      <c r="B5970" s="1"/>
      <c r="E5970" s="2"/>
    </row>
    <row r="5971" spans="2:5" x14ac:dyDescent="0.35">
      <c r="B5971" s="1"/>
      <c r="E5971" s="2"/>
    </row>
    <row r="5972" spans="2:5" x14ac:dyDescent="0.35">
      <c r="B5972" s="1"/>
      <c r="E5972" s="2"/>
    </row>
    <row r="5973" spans="2:5" x14ac:dyDescent="0.35">
      <c r="B5973" s="1"/>
    </row>
    <row r="5974" spans="2:5" x14ac:dyDescent="0.35">
      <c r="B5974" s="1"/>
    </row>
    <row r="5975" spans="2:5" x14ac:dyDescent="0.35">
      <c r="B5975" s="1"/>
      <c r="E5975" s="2"/>
    </row>
    <row r="5976" spans="2:5" x14ac:dyDescent="0.35">
      <c r="B5976" s="1"/>
      <c r="E5976" s="2"/>
    </row>
    <row r="5977" spans="2:5" x14ac:dyDescent="0.35">
      <c r="B5977" s="1"/>
      <c r="E5977" s="2"/>
    </row>
    <row r="5978" spans="2:5" x14ac:dyDescent="0.35">
      <c r="B5978" s="1"/>
    </row>
    <row r="5979" spans="2:5" x14ac:dyDescent="0.35">
      <c r="B5979" s="1"/>
      <c r="E5979" s="2"/>
    </row>
    <row r="5980" spans="2:5" x14ac:dyDescent="0.35">
      <c r="B5980" s="1"/>
      <c r="E5980" s="2"/>
    </row>
    <row r="5981" spans="2:5" x14ac:dyDescent="0.35">
      <c r="B5981" s="1"/>
    </row>
    <row r="5982" spans="2:5" x14ac:dyDescent="0.35">
      <c r="B5982" s="1"/>
    </row>
    <row r="5983" spans="2:5" x14ac:dyDescent="0.35">
      <c r="B5983" s="1"/>
    </row>
    <row r="5984" spans="2:5" x14ac:dyDescent="0.35">
      <c r="B5984" s="1"/>
    </row>
    <row r="5985" spans="2:5" x14ac:dyDescent="0.35">
      <c r="B5985" s="1"/>
    </row>
    <row r="5986" spans="2:5" x14ac:dyDescent="0.35">
      <c r="B5986" s="1"/>
      <c r="E5986" s="2"/>
    </row>
    <row r="5987" spans="2:5" x14ac:dyDescent="0.35">
      <c r="B5987" s="1"/>
      <c r="E5987" s="2"/>
    </row>
    <row r="5988" spans="2:5" x14ac:dyDescent="0.35">
      <c r="B5988" s="1"/>
      <c r="E5988" s="2"/>
    </row>
    <row r="5989" spans="2:5" x14ac:dyDescent="0.35">
      <c r="B5989" s="1"/>
    </row>
    <row r="5990" spans="2:5" x14ac:dyDescent="0.35">
      <c r="B5990" s="1"/>
      <c r="E5990" s="2"/>
    </row>
    <row r="5991" spans="2:5" x14ac:dyDescent="0.35">
      <c r="B5991" s="1"/>
      <c r="E5991" s="2"/>
    </row>
    <row r="5992" spans="2:5" x14ac:dyDescent="0.35">
      <c r="B5992" s="1"/>
      <c r="E5992" s="2"/>
    </row>
    <row r="5993" spans="2:5" x14ac:dyDescent="0.35">
      <c r="B5993" s="1"/>
      <c r="E5993" s="2"/>
    </row>
    <row r="5994" spans="2:5" x14ac:dyDescent="0.35">
      <c r="B5994" s="1"/>
      <c r="E5994" s="2"/>
    </row>
    <row r="5995" spans="2:5" x14ac:dyDescent="0.35">
      <c r="B5995" s="1"/>
      <c r="E5995" s="2"/>
    </row>
    <row r="5996" spans="2:5" x14ac:dyDescent="0.35">
      <c r="B5996" s="1"/>
      <c r="E5996" s="2"/>
    </row>
    <row r="5997" spans="2:5" x14ac:dyDescent="0.35">
      <c r="B5997" s="1"/>
      <c r="E5997" s="2"/>
    </row>
    <row r="5998" spans="2:5" x14ac:dyDescent="0.35">
      <c r="B5998" s="1"/>
    </row>
    <row r="5999" spans="2:5" x14ac:dyDescent="0.35">
      <c r="B5999" s="1"/>
      <c r="E5999" s="2"/>
    </row>
    <row r="6000" spans="2:5" x14ac:dyDescent="0.35">
      <c r="B6000" s="1"/>
      <c r="E6000" s="2"/>
    </row>
    <row r="6001" spans="2:5" x14ac:dyDescent="0.35">
      <c r="B6001" s="1"/>
    </row>
    <row r="6002" spans="2:5" x14ac:dyDescent="0.35">
      <c r="B6002" s="1"/>
    </row>
    <row r="6003" spans="2:5" x14ac:dyDescent="0.35">
      <c r="B6003" s="1"/>
      <c r="E6003" s="2"/>
    </row>
    <row r="6004" spans="2:5" x14ac:dyDescent="0.35">
      <c r="B6004" s="1"/>
    </row>
    <row r="6005" spans="2:5" x14ac:dyDescent="0.35">
      <c r="B6005" s="1"/>
      <c r="E6005" s="2"/>
    </row>
    <row r="6006" spans="2:5" x14ac:dyDescent="0.35">
      <c r="B6006" s="1"/>
    </row>
    <row r="6007" spans="2:5" x14ac:dyDescent="0.35">
      <c r="B6007" s="1"/>
      <c r="E6007" s="2"/>
    </row>
    <row r="6008" spans="2:5" x14ac:dyDescent="0.35">
      <c r="B6008" s="1"/>
    </row>
    <row r="6009" spans="2:5" x14ac:dyDescent="0.35">
      <c r="B6009" s="1"/>
      <c r="E6009" s="2"/>
    </row>
    <row r="6010" spans="2:5" x14ac:dyDescent="0.35">
      <c r="B6010" s="1"/>
      <c r="E6010" s="2"/>
    </row>
    <row r="6011" spans="2:5" x14ac:dyDescent="0.35">
      <c r="B6011" s="1"/>
    </row>
    <row r="6012" spans="2:5" x14ac:dyDescent="0.35">
      <c r="B6012" s="1"/>
    </row>
    <row r="6013" spans="2:5" x14ac:dyDescent="0.35">
      <c r="B6013" s="1"/>
      <c r="E6013" s="2"/>
    </row>
    <row r="6014" spans="2:5" x14ac:dyDescent="0.35">
      <c r="B6014" s="1"/>
    </row>
    <row r="6015" spans="2:5" x14ac:dyDescent="0.35">
      <c r="B6015" s="1"/>
      <c r="E6015" s="2"/>
    </row>
    <row r="6016" spans="2:5" x14ac:dyDescent="0.35">
      <c r="B6016" s="1"/>
      <c r="E6016" s="2"/>
    </row>
    <row r="6017" spans="2:5" x14ac:dyDescent="0.35">
      <c r="B6017" s="1"/>
    </row>
    <row r="6018" spans="2:5" x14ac:dyDescent="0.35">
      <c r="B6018" s="1"/>
      <c r="E6018" s="2"/>
    </row>
    <row r="6019" spans="2:5" x14ac:dyDescent="0.35">
      <c r="B6019" s="1"/>
      <c r="E6019" s="2"/>
    </row>
    <row r="6020" spans="2:5" x14ac:dyDescent="0.35">
      <c r="B6020" s="1"/>
    </row>
    <row r="6021" spans="2:5" x14ac:dyDescent="0.35">
      <c r="B6021" s="1"/>
    </row>
    <row r="6022" spans="2:5" x14ac:dyDescent="0.35">
      <c r="B6022" s="1"/>
    </row>
    <row r="6023" spans="2:5" x14ac:dyDescent="0.35">
      <c r="B6023" s="1"/>
    </row>
    <row r="6024" spans="2:5" x14ac:dyDescent="0.35">
      <c r="B6024" s="1"/>
      <c r="E6024" s="2"/>
    </row>
    <row r="6025" spans="2:5" x14ac:dyDescent="0.35">
      <c r="B6025" s="1"/>
    </row>
    <row r="6026" spans="2:5" x14ac:dyDescent="0.35">
      <c r="B6026" s="1"/>
      <c r="E6026" s="2"/>
    </row>
    <row r="6027" spans="2:5" x14ac:dyDescent="0.35">
      <c r="B6027" s="1"/>
      <c r="E6027" s="2"/>
    </row>
    <row r="6028" spans="2:5" x14ac:dyDescent="0.35">
      <c r="B6028" s="1"/>
      <c r="E6028" s="2"/>
    </row>
    <row r="6029" spans="2:5" x14ac:dyDescent="0.35">
      <c r="B6029" s="1"/>
      <c r="E6029" s="2"/>
    </row>
    <row r="6030" spans="2:5" x14ac:dyDescent="0.35">
      <c r="B6030" s="1"/>
      <c r="E6030" s="2"/>
    </row>
    <row r="6031" spans="2:5" x14ac:dyDescent="0.35">
      <c r="B6031" s="1"/>
      <c r="E6031" s="2"/>
    </row>
    <row r="6032" spans="2:5" x14ac:dyDescent="0.35">
      <c r="B6032" s="1"/>
      <c r="E6032" s="2"/>
    </row>
    <row r="6033" spans="2:5" x14ac:dyDescent="0.35">
      <c r="B6033" s="1"/>
      <c r="E6033" s="2"/>
    </row>
    <row r="6034" spans="2:5" x14ac:dyDescent="0.35">
      <c r="B6034" s="1"/>
      <c r="E6034" s="2"/>
    </row>
    <row r="6035" spans="2:5" x14ac:dyDescent="0.35">
      <c r="B6035" s="1"/>
      <c r="E6035" s="2"/>
    </row>
    <row r="6036" spans="2:5" x14ac:dyDescent="0.35">
      <c r="B6036" s="1"/>
      <c r="E6036" s="2"/>
    </row>
    <row r="6037" spans="2:5" x14ac:dyDescent="0.35">
      <c r="B6037" s="1"/>
    </row>
    <row r="6038" spans="2:5" x14ac:dyDescent="0.35">
      <c r="B6038" s="1"/>
    </row>
    <row r="6039" spans="2:5" x14ac:dyDescent="0.35">
      <c r="B6039" s="1"/>
      <c r="E6039" s="2"/>
    </row>
    <row r="6040" spans="2:5" x14ac:dyDescent="0.35">
      <c r="B6040" s="1"/>
    </row>
    <row r="6041" spans="2:5" x14ac:dyDescent="0.35">
      <c r="B6041" s="1"/>
      <c r="E6041" s="2"/>
    </row>
    <row r="6042" spans="2:5" x14ac:dyDescent="0.35">
      <c r="B6042" s="1"/>
    </row>
    <row r="6043" spans="2:5" x14ac:dyDescent="0.35">
      <c r="B6043" s="1"/>
    </row>
    <row r="6044" spans="2:5" x14ac:dyDescent="0.35">
      <c r="B6044" s="1"/>
      <c r="E6044" s="2"/>
    </row>
    <row r="6045" spans="2:5" x14ac:dyDescent="0.35">
      <c r="B6045" s="1"/>
      <c r="E6045" s="2"/>
    </row>
    <row r="6046" spans="2:5" x14ac:dyDescent="0.35">
      <c r="B6046" s="1"/>
      <c r="E6046" s="2"/>
    </row>
    <row r="6047" spans="2:5" x14ac:dyDescent="0.35">
      <c r="B6047" s="1"/>
    </row>
    <row r="6048" spans="2:5" x14ac:dyDescent="0.35">
      <c r="B6048" s="1"/>
    </row>
    <row r="6049" spans="2:5" x14ac:dyDescent="0.35">
      <c r="B6049" s="1"/>
      <c r="E6049" s="2"/>
    </row>
    <row r="6050" spans="2:5" x14ac:dyDescent="0.35">
      <c r="B6050" s="1"/>
    </row>
    <row r="6051" spans="2:5" x14ac:dyDescent="0.35">
      <c r="B6051" s="1"/>
      <c r="E6051" s="2"/>
    </row>
    <row r="6052" spans="2:5" x14ac:dyDescent="0.35">
      <c r="B6052" s="1"/>
    </row>
    <row r="6053" spans="2:5" x14ac:dyDescent="0.35">
      <c r="B6053" s="1"/>
    </row>
    <row r="6054" spans="2:5" x14ac:dyDescent="0.35">
      <c r="B6054" s="1"/>
      <c r="E6054" s="2"/>
    </row>
    <row r="6055" spans="2:5" x14ac:dyDescent="0.35">
      <c r="B6055" s="1"/>
      <c r="E6055" s="2"/>
    </row>
    <row r="6056" spans="2:5" x14ac:dyDescent="0.35">
      <c r="B6056" s="1"/>
    </row>
    <row r="6057" spans="2:5" x14ac:dyDescent="0.35">
      <c r="B6057" s="1"/>
      <c r="E6057" s="2"/>
    </row>
    <row r="6058" spans="2:5" x14ac:dyDescent="0.35">
      <c r="B6058" s="1"/>
      <c r="E6058" s="2"/>
    </row>
    <row r="6059" spans="2:5" x14ac:dyDescent="0.35">
      <c r="B6059" s="1"/>
      <c r="E6059" s="2"/>
    </row>
    <row r="6060" spans="2:5" x14ac:dyDescent="0.35">
      <c r="B6060" s="1"/>
      <c r="E6060" s="2"/>
    </row>
    <row r="6061" spans="2:5" x14ac:dyDescent="0.35">
      <c r="B6061" s="1"/>
      <c r="E6061" s="2"/>
    </row>
    <row r="6062" spans="2:5" x14ac:dyDescent="0.35">
      <c r="B6062" s="1"/>
      <c r="E6062" s="2"/>
    </row>
    <row r="6063" spans="2:5" x14ac:dyDescent="0.35">
      <c r="B6063" s="1"/>
      <c r="E6063" s="2"/>
    </row>
    <row r="6064" spans="2:5" x14ac:dyDescent="0.35">
      <c r="B6064" s="1"/>
      <c r="E6064" s="2"/>
    </row>
    <row r="6065" spans="2:5" x14ac:dyDescent="0.35">
      <c r="B6065" s="1"/>
      <c r="E6065" s="2"/>
    </row>
    <row r="6066" spans="2:5" x14ac:dyDescent="0.35">
      <c r="B6066" s="1"/>
      <c r="E6066" s="2"/>
    </row>
    <row r="6067" spans="2:5" x14ac:dyDescent="0.35">
      <c r="B6067" s="1"/>
      <c r="E6067" s="2"/>
    </row>
    <row r="6068" spans="2:5" x14ac:dyDescent="0.35">
      <c r="B6068" s="1"/>
      <c r="E6068" s="2"/>
    </row>
    <row r="6069" spans="2:5" x14ac:dyDescent="0.35">
      <c r="B6069" s="1"/>
    </row>
    <row r="6070" spans="2:5" x14ac:dyDescent="0.35">
      <c r="B6070" s="1"/>
    </row>
    <row r="6071" spans="2:5" x14ac:dyDescent="0.35">
      <c r="B6071" s="1"/>
    </row>
    <row r="6072" spans="2:5" x14ac:dyDescent="0.35">
      <c r="B6072" s="1"/>
    </row>
    <row r="6073" spans="2:5" x14ac:dyDescent="0.35">
      <c r="B6073" s="1"/>
    </row>
    <row r="6074" spans="2:5" x14ac:dyDescent="0.35">
      <c r="B6074" s="1"/>
      <c r="E6074" s="2"/>
    </row>
    <row r="6075" spans="2:5" x14ac:dyDescent="0.35">
      <c r="B6075" s="1"/>
    </row>
    <row r="6076" spans="2:5" x14ac:dyDescent="0.35">
      <c r="B6076" s="1"/>
      <c r="E6076" s="2"/>
    </row>
    <row r="6077" spans="2:5" x14ac:dyDescent="0.35">
      <c r="B6077" s="1"/>
    </row>
    <row r="6078" spans="2:5" x14ac:dyDescent="0.35">
      <c r="B6078" s="1"/>
    </row>
    <row r="6079" spans="2:5" x14ac:dyDescent="0.35">
      <c r="B6079" s="1"/>
      <c r="E6079" s="2"/>
    </row>
    <row r="6080" spans="2:5" x14ac:dyDescent="0.35">
      <c r="B6080" s="1"/>
    </row>
    <row r="6081" spans="2:5" x14ac:dyDescent="0.35">
      <c r="B6081" s="1"/>
      <c r="E6081" s="2"/>
    </row>
    <row r="6082" spans="2:5" x14ac:dyDescent="0.35">
      <c r="B6082" s="1"/>
      <c r="E6082" s="2"/>
    </row>
    <row r="6083" spans="2:5" x14ac:dyDescent="0.35">
      <c r="B6083" s="1"/>
    </row>
    <row r="6084" spans="2:5" x14ac:dyDescent="0.35">
      <c r="B6084" s="1"/>
      <c r="E6084" s="2"/>
    </row>
    <row r="6085" spans="2:5" x14ac:dyDescent="0.35">
      <c r="B6085" s="1"/>
      <c r="E6085" s="2"/>
    </row>
    <row r="6086" spans="2:5" x14ac:dyDescent="0.35">
      <c r="B6086" s="1"/>
      <c r="E6086" s="2"/>
    </row>
    <row r="6087" spans="2:5" x14ac:dyDescent="0.35">
      <c r="B6087" s="1"/>
    </row>
    <row r="6088" spans="2:5" x14ac:dyDescent="0.35">
      <c r="B6088" s="1"/>
      <c r="E6088" s="2"/>
    </row>
    <row r="6089" spans="2:5" x14ac:dyDescent="0.35">
      <c r="B6089" s="1"/>
    </row>
    <row r="6090" spans="2:5" x14ac:dyDescent="0.35">
      <c r="B6090" s="1"/>
    </row>
    <row r="6091" spans="2:5" x14ac:dyDescent="0.35">
      <c r="B6091" s="1"/>
    </row>
    <row r="6092" spans="2:5" x14ac:dyDescent="0.35">
      <c r="B6092" s="1"/>
      <c r="E6092" s="2"/>
    </row>
    <row r="6093" spans="2:5" x14ac:dyDescent="0.35">
      <c r="B6093" s="1"/>
      <c r="E6093" s="2"/>
    </row>
    <row r="6094" spans="2:5" x14ac:dyDescent="0.35">
      <c r="B6094" s="1"/>
    </row>
    <row r="6095" spans="2:5" x14ac:dyDescent="0.35">
      <c r="B6095" s="1"/>
      <c r="E6095" s="2"/>
    </row>
    <row r="6096" spans="2:5" x14ac:dyDescent="0.35">
      <c r="B6096" s="1"/>
      <c r="E6096" s="2"/>
    </row>
    <row r="6097" spans="2:5" x14ac:dyDescent="0.35">
      <c r="B6097" s="1"/>
    </row>
    <row r="6098" spans="2:5" x14ac:dyDescent="0.35">
      <c r="B6098" s="1"/>
    </row>
    <row r="6099" spans="2:5" x14ac:dyDescent="0.35">
      <c r="B6099" s="1"/>
    </row>
    <row r="6100" spans="2:5" x14ac:dyDescent="0.35">
      <c r="B6100" s="1"/>
    </row>
    <row r="6101" spans="2:5" x14ac:dyDescent="0.35">
      <c r="B6101" s="1"/>
      <c r="E6101" s="2"/>
    </row>
    <row r="6102" spans="2:5" x14ac:dyDescent="0.35">
      <c r="B6102" s="1"/>
      <c r="E6102" s="2"/>
    </row>
    <row r="6103" spans="2:5" x14ac:dyDescent="0.35">
      <c r="B6103" s="1"/>
      <c r="E6103" s="2"/>
    </row>
    <row r="6104" spans="2:5" x14ac:dyDescent="0.35">
      <c r="B6104" s="1"/>
      <c r="E6104" s="2"/>
    </row>
    <row r="6105" spans="2:5" x14ac:dyDescent="0.35">
      <c r="B6105" s="1"/>
    </row>
    <row r="6106" spans="2:5" x14ac:dyDescent="0.35">
      <c r="B6106" s="1"/>
    </row>
    <row r="6107" spans="2:5" x14ac:dyDescent="0.35">
      <c r="B6107" s="1"/>
      <c r="E6107" s="2"/>
    </row>
    <row r="6108" spans="2:5" x14ac:dyDescent="0.35">
      <c r="B6108" s="1"/>
      <c r="E6108" s="2"/>
    </row>
    <row r="6109" spans="2:5" x14ac:dyDescent="0.35">
      <c r="B6109" s="1"/>
      <c r="E6109" s="2"/>
    </row>
    <row r="6110" spans="2:5" x14ac:dyDescent="0.35">
      <c r="B6110" s="1"/>
      <c r="E6110" s="2"/>
    </row>
    <row r="6111" spans="2:5" x14ac:dyDescent="0.35">
      <c r="B6111" s="1"/>
    </row>
    <row r="6112" spans="2:5" x14ac:dyDescent="0.35">
      <c r="B6112" s="1"/>
    </row>
    <row r="6113" spans="2:5" x14ac:dyDescent="0.35">
      <c r="B6113" s="1"/>
      <c r="E6113" s="2"/>
    </row>
    <row r="6114" spans="2:5" x14ac:dyDescent="0.35">
      <c r="B6114" s="1"/>
      <c r="E6114" s="2"/>
    </row>
    <row r="6115" spans="2:5" x14ac:dyDescent="0.35">
      <c r="B6115" s="1"/>
    </row>
    <row r="6116" spans="2:5" x14ac:dyDescent="0.35">
      <c r="B6116" s="1"/>
      <c r="E6116" s="2"/>
    </row>
    <row r="6117" spans="2:5" x14ac:dyDescent="0.35">
      <c r="B6117" s="1"/>
    </row>
    <row r="6118" spans="2:5" x14ac:dyDescent="0.35">
      <c r="B6118" s="1"/>
    </row>
    <row r="6119" spans="2:5" x14ac:dyDescent="0.35">
      <c r="B6119" s="1"/>
      <c r="E6119" s="2"/>
    </row>
    <row r="6120" spans="2:5" x14ac:dyDescent="0.35">
      <c r="B6120" s="1"/>
      <c r="E6120" s="2"/>
    </row>
    <row r="6121" spans="2:5" x14ac:dyDescent="0.35">
      <c r="B6121" s="1"/>
      <c r="E6121" s="2"/>
    </row>
    <row r="6122" spans="2:5" x14ac:dyDescent="0.35">
      <c r="B6122" s="1"/>
      <c r="E6122" s="2"/>
    </row>
    <row r="6123" spans="2:5" x14ac:dyDescent="0.35">
      <c r="B6123" s="1"/>
      <c r="E6123" s="2"/>
    </row>
    <row r="6124" spans="2:5" x14ac:dyDescent="0.35">
      <c r="B6124" s="1"/>
    </row>
    <row r="6125" spans="2:5" x14ac:dyDescent="0.35">
      <c r="B6125" s="1"/>
    </row>
    <row r="6126" spans="2:5" x14ac:dyDescent="0.35">
      <c r="B6126" s="1"/>
      <c r="E6126" s="2"/>
    </row>
    <row r="6127" spans="2:5" x14ac:dyDescent="0.35">
      <c r="B6127" s="1"/>
      <c r="E6127" s="2"/>
    </row>
    <row r="6128" spans="2:5" x14ac:dyDescent="0.35">
      <c r="B6128" s="1"/>
    </row>
    <row r="6129" spans="2:5" x14ac:dyDescent="0.35">
      <c r="B6129" s="1"/>
    </row>
    <row r="6130" spans="2:5" x14ac:dyDescent="0.35">
      <c r="B6130" s="1"/>
      <c r="E6130" s="2"/>
    </row>
    <row r="6131" spans="2:5" x14ac:dyDescent="0.35">
      <c r="B6131" s="1"/>
    </row>
    <row r="6132" spans="2:5" x14ac:dyDescent="0.35">
      <c r="B6132" s="1"/>
    </row>
    <row r="6133" spans="2:5" x14ac:dyDescent="0.35">
      <c r="B6133" s="1"/>
    </row>
    <row r="6134" spans="2:5" x14ac:dyDescent="0.35">
      <c r="B6134" s="1"/>
    </row>
    <row r="6135" spans="2:5" x14ac:dyDescent="0.35">
      <c r="B6135" s="1"/>
    </row>
    <row r="6136" spans="2:5" x14ac:dyDescent="0.35">
      <c r="B6136" s="1"/>
      <c r="E6136" s="2"/>
    </row>
    <row r="6137" spans="2:5" x14ac:dyDescent="0.35">
      <c r="B6137" s="1"/>
    </row>
    <row r="6138" spans="2:5" x14ac:dyDescent="0.35">
      <c r="B6138" s="1"/>
      <c r="E6138" s="2"/>
    </row>
    <row r="6139" spans="2:5" x14ac:dyDescent="0.35">
      <c r="B6139" s="1"/>
      <c r="E6139" s="2"/>
    </row>
    <row r="6140" spans="2:5" x14ac:dyDescent="0.35">
      <c r="B6140" s="1"/>
    </row>
    <row r="6141" spans="2:5" x14ac:dyDescent="0.35">
      <c r="B6141" s="1"/>
      <c r="E6141" s="2"/>
    </row>
    <row r="6142" spans="2:5" x14ac:dyDescent="0.35">
      <c r="B6142" s="1"/>
      <c r="E6142" s="2"/>
    </row>
    <row r="6143" spans="2:5" x14ac:dyDescent="0.35">
      <c r="B6143" s="1"/>
      <c r="E6143" s="2"/>
    </row>
    <row r="6144" spans="2:5" x14ac:dyDescent="0.35">
      <c r="B6144" s="1"/>
    </row>
    <row r="6145" spans="2:5" x14ac:dyDescent="0.35">
      <c r="B6145" s="1"/>
    </row>
    <row r="6146" spans="2:5" x14ac:dyDescent="0.35">
      <c r="B6146" s="1"/>
      <c r="E6146" s="2"/>
    </row>
    <row r="6147" spans="2:5" x14ac:dyDescent="0.35">
      <c r="B6147" s="1"/>
      <c r="E6147" s="2"/>
    </row>
    <row r="6148" spans="2:5" x14ac:dyDescent="0.35">
      <c r="B6148" s="1"/>
      <c r="E6148" s="2"/>
    </row>
    <row r="6149" spans="2:5" x14ac:dyDescent="0.35">
      <c r="B6149" s="1"/>
      <c r="E6149" s="2"/>
    </row>
    <row r="6150" spans="2:5" x14ac:dyDescent="0.35">
      <c r="B6150" s="1"/>
    </row>
    <row r="6151" spans="2:5" x14ac:dyDescent="0.35">
      <c r="B6151" s="1"/>
    </row>
    <row r="6152" spans="2:5" x14ac:dyDescent="0.35">
      <c r="B6152" s="1"/>
    </row>
    <row r="6153" spans="2:5" x14ac:dyDescent="0.35">
      <c r="B6153" s="1"/>
    </row>
    <row r="6154" spans="2:5" x14ac:dyDescent="0.35">
      <c r="B6154" s="1"/>
      <c r="E6154" s="2"/>
    </row>
    <row r="6155" spans="2:5" x14ac:dyDescent="0.35">
      <c r="B6155" s="1"/>
    </row>
    <row r="6156" spans="2:5" x14ac:dyDescent="0.35">
      <c r="B6156" s="1"/>
      <c r="E6156" s="2"/>
    </row>
    <row r="6157" spans="2:5" x14ac:dyDescent="0.35">
      <c r="B6157" s="1"/>
    </row>
    <row r="6158" spans="2:5" x14ac:dyDescent="0.35">
      <c r="B6158" s="1"/>
      <c r="E6158" s="2"/>
    </row>
    <row r="6159" spans="2:5" x14ac:dyDescent="0.35">
      <c r="B6159" s="1"/>
    </row>
    <row r="6160" spans="2:5" x14ac:dyDescent="0.35">
      <c r="B6160" s="1"/>
      <c r="E6160" s="2"/>
    </row>
    <row r="6161" spans="2:5" x14ac:dyDescent="0.35">
      <c r="B6161" s="1"/>
      <c r="E6161" s="2"/>
    </row>
    <row r="6162" spans="2:5" x14ac:dyDescent="0.35">
      <c r="B6162" s="1"/>
    </row>
    <row r="6163" spans="2:5" x14ac:dyDescent="0.35">
      <c r="B6163" s="1"/>
      <c r="E6163" s="2"/>
    </row>
    <row r="6164" spans="2:5" x14ac:dyDescent="0.35">
      <c r="B6164" s="1"/>
      <c r="E6164" s="2"/>
    </row>
    <row r="6165" spans="2:5" x14ac:dyDescent="0.35">
      <c r="B6165" s="1"/>
    </row>
    <row r="6166" spans="2:5" x14ac:dyDescent="0.35">
      <c r="B6166" s="1"/>
      <c r="E6166" s="2"/>
    </row>
    <row r="6167" spans="2:5" x14ac:dyDescent="0.35">
      <c r="B6167" s="1"/>
      <c r="E6167" s="2"/>
    </row>
    <row r="6168" spans="2:5" x14ac:dyDescent="0.35">
      <c r="B6168" s="1"/>
    </row>
    <row r="6169" spans="2:5" x14ac:dyDescent="0.35">
      <c r="B6169" s="1"/>
    </row>
    <row r="6170" spans="2:5" x14ac:dyDescent="0.35">
      <c r="B6170" s="1"/>
      <c r="E6170" s="2"/>
    </row>
    <row r="6171" spans="2:5" x14ac:dyDescent="0.35">
      <c r="B6171" s="1"/>
      <c r="E6171" s="2"/>
    </row>
    <row r="6172" spans="2:5" x14ac:dyDescent="0.35">
      <c r="B6172" s="1"/>
    </row>
    <row r="6173" spans="2:5" x14ac:dyDescent="0.35">
      <c r="B6173" s="1"/>
      <c r="E6173" s="2"/>
    </row>
    <row r="6174" spans="2:5" x14ac:dyDescent="0.35">
      <c r="B6174" s="1"/>
    </row>
    <row r="6175" spans="2:5" x14ac:dyDescent="0.35">
      <c r="B6175" s="1"/>
      <c r="E6175" s="2"/>
    </row>
    <row r="6176" spans="2:5" x14ac:dyDescent="0.35">
      <c r="B6176" s="1"/>
      <c r="E6176" s="2"/>
    </row>
    <row r="6177" spans="2:5" x14ac:dyDescent="0.35">
      <c r="B6177" s="1"/>
      <c r="E6177" s="2"/>
    </row>
    <row r="6178" spans="2:5" x14ac:dyDescent="0.35">
      <c r="B6178" s="1"/>
    </row>
    <row r="6179" spans="2:5" x14ac:dyDescent="0.35">
      <c r="B6179" s="1"/>
      <c r="E6179" s="2"/>
    </row>
    <row r="6180" spans="2:5" x14ac:dyDescent="0.35">
      <c r="B6180" s="1"/>
    </row>
    <row r="6181" spans="2:5" x14ac:dyDescent="0.35">
      <c r="B6181" s="1"/>
      <c r="E6181" s="2"/>
    </row>
    <row r="6182" spans="2:5" x14ac:dyDescent="0.35">
      <c r="B6182" s="1"/>
    </row>
    <row r="6183" spans="2:5" x14ac:dyDescent="0.35">
      <c r="B6183" s="1"/>
    </row>
    <row r="6184" spans="2:5" x14ac:dyDescent="0.35">
      <c r="B6184" s="1"/>
    </row>
    <row r="6185" spans="2:5" x14ac:dyDescent="0.35">
      <c r="B6185" s="1"/>
    </row>
    <row r="6186" spans="2:5" x14ac:dyDescent="0.35">
      <c r="B6186" s="1"/>
      <c r="E6186" s="2"/>
    </row>
    <row r="6187" spans="2:5" x14ac:dyDescent="0.35">
      <c r="B6187" s="1"/>
    </row>
    <row r="6188" spans="2:5" x14ac:dyDescent="0.35">
      <c r="B6188" s="1"/>
      <c r="E6188" s="2"/>
    </row>
    <row r="6189" spans="2:5" x14ac:dyDescent="0.35">
      <c r="B6189" s="1"/>
    </row>
    <row r="6190" spans="2:5" x14ac:dyDescent="0.35">
      <c r="B6190" s="1"/>
    </row>
    <row r="6191" spans="2:5" x14ac:dyDescent="0.35">
      <c r="B6191" s="1"/>
    </row>
    <row r="6192" spans="2:5" x14ac:dyDescent="0.35">
      <c r="B6192" s="1"/>
    </row>
    <row r="6193" spans="2:5" x14ac:dyDescent="0.35">
      <c r="B6193" s="1"/>
      <c r="E6193" s="2"/>
    </row>
    <row r="6194" spans="2:5" x14ac:dyDescent="0.35">
      <c r="B6194" s="1"/>
      <c r="E6194" s="2"/>
    </row>
    <row r="6195" spans="2:5" x14ac:dyDescent="0.35">
      <c r="B6195" s="1"/>
      <c r="E6195" s="2"/>
    </row>
    <row r="6196" spans="2:5" x14ac:dyDescent="0.35">
      <c r="B6196" s="1"/>
      <c r="E6196" s="2"/>
    </row>
    <row r="6197" spans="2:5" x14ac:dyDescent="0.35">
      <c r="B6197" s="1"/>
      <c r="E6197" s="2"/>
    </row>
    <row r="6198" spans="2:5" x14ac:dyDescent="0.35">
      <c r="B6198" s="1"/>
      <c r="E6198" s="2"/>
    </row>
    <row r="6199" spans="2:5" x14ac:dyDescent="0.35">
      <c r="B6199" s="1"/>
      <c r="E6199" s="2"/>
    </row>
    <row r="6200" spans="2:5" x14ac:dyDescent="0.35">
      <c r="B6200" s="1"/>
      <c r="E6200" s="2"/>
    </row>
    <row r="6201" spans="2:5" x14ac:dyDescent="0.35">
      <c r="B6201" s="1"/>
    </row>
    <row r="6202" spans="2:5" x14ac:dyDescent="0.35">
      <c r="B6202" s="1"/>
      <c r="E6202" s="2"/>
    </row>
    <row r="6203" spans="2:5" x14ac:dyDescent="0.35">
      <c r="B6203" s="1"/>
      <c r="E6203" s="2"/>
    </row>
    <row r="6204" spans="2:5" x14ac:dyDescent="0.35">
      <c r="B6204" s="1"/>
    </row>
    <row r="6205" spans="2:5" x14ac:dyDescent="0.35">
      <c r="B6205" s="1"/>
      <c r="E6205" s="2"/>
    </row>
    <row r="6206" spans="2:5" x14ac:dyDescent="0.35">
      <c r="B6206" s="1"/>
    </row>
    <row r="6207" spans="2:5" x14ac:dyDescent="0.35">
      <c r="B6207" s="1"/>
      <c r="E6207" s="2"/>
    </row>
    <row r="6208" spans="2:5" x14ac:dyDescent="0.35">
      <c r="B6208" s="1"/>
    </row>
    <row r="6209" spans="2:5" x14ac:dyDescent="0.35">
      <c r="B6209" s="1"/>
      <c r="E6209" s="2"/>
    </row>
    <row r="6210" spans="2:5" x14ac:dyDescent="0.35">
      <c r="B6210" s="1"/>
    </row>
    <row r="6211" spans="2:5" x14ac:dyDescent="0.35">
      <c r="B6211" s="1"/>
      <c r="E6211" s="2"/>
    </row>
    <row r="6212" spans="2:5" x14ac:dyDescent="0.35">
      <c r="B6212" s="1"/>
      <c r="E6212" s="2"/>
    </row>
    <row r="6213" spans="2:5" x14ac:dyDescent="0.35">
      <c r="B6213" s="1"/>
    </row>
    <row r="6214" spans="2:5" x14ac:dyDescent="0.35">
      <c r="B6214" s="1"/>
      <c r="E6214" s="2"/>
    </row>
    <row r="6215" spans="2:5" x14ac:dyDescent="0.35">
      <c r="B6215" s="1"/>
      <c r="E6215" s="2"/>
    </row>
    <row r="6216" spans="2:5" x14ac:dyDescent="0.35">
      <c r="B6216" s="1"/>
      <c r="E6216" s="2"/>
    </row>
    <row r="6217" spans="2:5" x14ac:dyDescent="0.35">
      <c r="B6217" s="1"/>
      <c r="E6217" s="2"/>
    </row>
    <row r="6218" spans="2:5" x14ac:dyDescent="0.35">
      <c r="B6218" s="1"/>
      <c r="E6218" s="2"/>
    </row>
    <row r="6219" spans="2:5" x14ac:dyDescent="0.35">
      <c r="B6219" s="1"/>
    </row>
    <row r="6220" spans="2:5" x14ac:dyDescent="0.35">
      <c r="B6220" s="1"/>
      <c r="E6220" s="2"/>
    </row>
    <row r="6221" spans="2:5" x14ac:dyDescent="0.35">
      <c r="B6221" s="1"/>
      <c r="E6221" s="2"/>
    </row>
    <row r="6222" spans="2:5" x14ac:dyDescent="0.35">
      <c r="B6222" s="1"/>
    </row>
    <row r="6223" spans="2:5" x14ac:dyDescent="0.35">
      <c r="B6223" s="1"/>
      <c r="E6223" s="2"/>
    </row>
    <row r="6224" spans="2:5" x14ac:dyDescent="0.35">
      <c r="B6224" s="1"/>
    </row>
    <row r="6225" spans="2:5" x14ac:dyDescent="0.35">
      <c r="B6225" s="1"/>
    </row>
    <row r="6226" spans="2:5" x14ac:dyDescent="0.35">
      <c r="B6226" s="1"/>
      <c r="E6226" s="2"/>
    </row>
    <row r="6227" spans="2:5" x14ac:dyDescent="0.35">
      <c r="B6227" s="1"/>
      <c r="E6227" s="2"/>
    </row>
    <row r="6228" spans="2:5" x14ac:dyDescent="0.35">
      <c r="B6228" s="1"/>
      <c r="E6228" s="2"/>
    </row>
    <row r="6229" spans="2:5" x14ac:dyDescent="0.35">
      <c r="B6229" s="1"/>
    </row>
    <row r="6230" spans="2:5" x14ac:dyDescent="0.35">
      <c r="B6230" s="1"/>
      <c r="E6230" s="2"/>
    </row>
    <row r="6231" spans="2:5" x14ac:dyDescent="0.35">
      <c r="B6231" s="1"/>
    </row>
    <row r="6232" spans="2:5" x14ac:dyDescent="0.35">
      <c r="B6232" s="1"/>
      <c r="E6232" s="2"/>
    </row>
    <row r="6233" spans="2:5" x14ac:dyDescent="0.35">
      <c r="B6233" s="1"/>
    </row>
    <row r="6234" spans="2:5" x14ac:dyDescent="0.35">
      <c r="B6234" s="1"/>
      <c r="E6234" s="2"/>
    </row>
    <row r="6235" spans="2:5" x14ac:dyDescent="0.35">
      <c r="B6235" s="1"/>
    </row>
    <row r="6236" spans="2:5" x14ac:dyDescent="0.35">
      <c r="B6236" s="1"/>
    </row>
    <row r="6237" spans="2:5" x14ac:dyDescent="0.35">
      <c r="B6237" s="1"/>
      <c r="E6237" s="2"/>
    </row>
    <row r="6238" spans="2:5" x14ac:dyDescent="0.35">
      <c r="B6238" s="1"/>
    </row>
    <row r="6239" spans="2:5" x14ac:dyDescent="0.35">
      <c r="B6239" s="1"/>
      <c r="E6239" s="2"/>
    </row>
    <row r="6240" spans="2:5" x14ac:dyDescent="0.35">
      <c r="B6240" s="1"/>
    </row>
    <row r="6241" spans="2:5" x14ac:dyDescent="0.35">
      <c r="B6241" s="1"/>
    </row>
    <row r="6242" spans="2:5" x14ac:dyDescent="0.35">
      <c r="B6242" s="1"/>
    </row>
    <row r="6243" spans="2:5" x14ac:dyDescent="0.35">
      <c r="B6243" s="1"/>
    </row>
    <row r="6244" spans="2:5" x14ac:dyDescent="0.35">
      <c r="B6244" s="1"/>
      <c r="E6244" s="2"/>
    </row>
    <row r="6245" spans="2:5" x14ac:dyDescent="0.35">
      <c r="B6245" s="1"/>
    </row>
    <row r="6246" spans="2:5" x14ac:dyDescent="0.35">
      <c r="B6246" s="1"/>
    </row>
    <row r="6247" spans="2:5" x14ac:dyDescent="0.35">
      <c r="B6247" s="1"/>
      <c r="E6247" s="2"/>
    </row>
    <row r="6248" spans="2:5" x14ac:dyDescent="0.35">
      <c r="B6248" s="1"/>
      <c r="E6248" s="2"/>
    </row>
    <row r="6249" spans="2:5" x14ac:dyDescent="0.35">
      <c r="B6249" s="1"/>
    </row>
    <row r="6250" spans="2:5" x14ac:dyDescent="0.35">
      <c r="B6250" s="1"/>
      <c r="E6250" s="2"/>
    </row>
    <row r="6251" spans="2:5" x14ac:dyDescent="0.35">
      <c r="B6251" s="1"/>
    </row>
    <row r="6252" spans="2:5" x14ac:dyDescent="0.35">
      <c r="B6252" s="1"/>
    </row>
    <row r="6253" spans="2:5" x14ac:dyDescent="0.35">
      <c r="B6253" s="1"/>
      <c r="E6253" s="2"/>
    </row>
    <row r="6254" spans="2:5" x14ac:dyDescent="0.35">
      <c r="B6254" s="1"/>
      <c r="E6254" s="2"/>
    </row>
    <row r="6255" spans="2:5" x14ac:dyDescent="0.35">
      <c r="B6255" s="1"/>
      <c r="E6255" s="2"/>
    </row>
    <row r="6256" spans="2:5" x14ac:dyDescent="0.35">
      <c r="B6256" s="1"/>
      <c r="E6256" s="2"/>
    </row>
    <row r="6257" spans="2:5" x14ac:dyDescent="0.35">
      <c r="B6257" s="1"/>
      <c r="E6257" s="2"/>
    </row>
    <row r="6258" spans="2:5" x14ac:dyDescent="0.35">
      <c r="B6258" s="1"/>
      <c r="E6258" s="2"/>
    </row>
    <row r="6259" spans="2:5" x14ac:dyDescent="0.35">
      <c r="B6259" s="1"/>
      <c r="E6259" s="2"/>
    </row>
    <row r="6260" spans="2:5" x14ac:dyDescent="0.35">
      <c r="B6260" s="1"/>
      <c r="E6260" s="2"/>
    </row>
    <row r="6261" spans="2:5" x14ac:dyDescent="0.35">
      <c r="B6261" s="1"/>
    </row>
    <row r="6262" spans="2:5" x14ac:dyDescent="0.35">
      <c r="B6262" s="1"/>
      <c r="E6262" s="2"/>
    </row>
    <row r="6263" spans="2:5" x14ac:dyDescent="0.35">
      <c r="B6263" s="1"/>
      <c r="E6263" s="2"/>
    </row>
    <row r="6264" spans="2:5" x14ac:dyDescent="0.35">
      <c r="B6264" s="1"/>
    </row>
    <row r="6265" spans="2:5" x14ac:dyDescent="0.35">
      <c r="B6265" s="1"/>
    </row>
    <row r="6266" spans="2:5" x14ac:dyDescent="0.35">
      <c r="B6266" s="1"/>
    </row>
    <row r="6267" spans="2:5" x14ac:dyDescent="0.35">
      <c r="B6267" s="1"/>
      <c r="E6267" s="2"/>
    </row>
    <row r="6268" spans="2:5" x14ac:dyDescent="0.35">
      <c r="B6268" s="1"/>
    </row>
    <row r="6269" spans="2:5" x14ac:dyDescent="0.35">
      <c r="B6269" s="1"/>
    </row>
    <row r="6270" spans="2:5" x14ac:dyDescent="0.35">
      <c r="B6270" s="1"/>
    </row>
    <row r="6271" spans="2:5" x14ac:dyDescent="0.35">
      <c r="B6271" s="1"/>
    </row>
    <row r="6272" spans="2:5" x14ac:dyDescent="0.35">
      <c r="B6272" s="1"/>
      <c r="E6272" s="2"/>
    </row>
    <row r="6273" spans="2:5" x14ac:dyDescent="0.35">
      <c r="B6273" s="1"/>
      <c r="E6273" s="2"/>
    </row>
    <row r="6274" spans="2:5" x14ac:dyDescent="0.35">
      <c r="B6274" s="1"/>
      <c r="E6274" s="2"/>
    </row>
    <row r="6275" spans="2:5" x14ac:dyDescent="0.35">
      <c r="B6275" s="1"/>
      <c r="E6275" s="2"/>
    </row>
    <row r="6276" spans="2:5" x14ac:dyDescent="0.35">
      <c r="B6276" s="1"/>
      <c r="E6276" s="2"/>
    </row>
    <row r="6277" spans="2:5" x14ac:dyDescent="0.35">
      <c r="B6277" s="1"/>
      <c r="E6277" s="2"/>
    </row>
    <row r="6278" spans="2:5" x14ac:dyDescent="0.35">
      <c r="B6278" s="1"/>
    </row>
    <row r="6279" spans="2:5" x14ac:dyDescent="0.35">
      <c r="B6279" s="1"/>
      <c r="E6279" s="2"/>
    </row>
    <row r="6280" spans="2:5" x14ac:dyDescent="0.35">
      <c r="B6280" s="1"/>
      <c r="E6280" s="2"/>
    </row>
    <row r="6281" spans="2:5" x14ac:dyDescent="0.35">
      <c r="B6281" s="1"/>
    </row>
    <row r="6282" spans="2:5" x14ac:dyDescent="0.35">
      <c r="B6282" s="1"/>
      <c r="E6282" s="2"/>
    </row>
    <row r="6283" spans="2:5" x14ac:dyDescent="0.35">
      <c r="B6283" s="1"/>
      <c r="E6283" s="2"/>
    </row>
    <row r="6284" spans="2:5" x14ac:dyDescent="0.35">
      <c r="B6284" s="1"/>
      <c r="E6284" s="2"/>
    </row>
    <row r="6285" spans="2:5" x14ac:dyDescent="0.35">
      <c r="B6285" s="1"/>
      <c r="E6285" s="2"/>
    </row>
    <row r="6286" spans="2:5" x14ac:dyDescent="0.35">
      <c r="B6286" s="1"/>
      <c r="E6286" s="2"/>
    </row>
    <row r="6287" spans="2:5" x14ac:dyDescent="0.35">
      <c r="B6287" s="1"/>
    </row>
    <row r="6288" spans="2:5" x14ac:dyDescent="0.35">
      <c r="B6288" s="1"/>
      <c r="E6288" s="2"/>
    </row>
    <row r="6289" spans="2:5" x14ac:dyDescent="0.35">
      <c r="B6289" s="1"/>
      <c r="E6289" s="2"/>
    </row>
    <row r="6290" spans="2:5" x14ac:dyDescent="0.35">
      <c r="B6290" s="1"/>
    </row>
    <row r="6291" spans="2:5" x14ac:dyDescent="0.35">
      <c r="B6291" s="1"/>
    </row>
    <row r="6292" spans="2:5" x14ac:dyDescent="0.35">
      <c r="B6292" s="1"/>
      <c r="E6292" s="2"/>
    </row>
    <row r="6293" spans="2:5" x14ac:dyDescent="0.35">
      <c r="B6293" s="1"/>
      <c r="E6293" s="2"/>
    </row>
    <row r="6294" spans="2:5" x14ac:dyDescent="0.35">
      <c r="B6294" s="1"/>
      <c r="E6294" s="2"/>
    </row>
    <row r="6295" spans="2:5" x14ac:dyDescent="0.35">
      <c r="B6295" s="1"/>
    </row>
    <row r="6296" spans="2:5" x14ac:dyDescent="0.35">
      <c r="B6296" s="1"/>
    </row>
    <row r="6297" spans="2:5" x14ac:dyDescent="0.35">
      <c r="B6297" s="1"/>
      <c r="E6297" s="2"/>
    </row>
    <row r="6298" spans="2:5" x14ac:dyDescent="0.35">
      <c r="B6298" s="1"/>
      <c r="E6298" s="2"/>
    </row>
    <row r="6299" spans="2:5" x14ac:dyDescent="0.35">
      <c r="B6299" s="1"/>
    </row>
    <row r="6300" spans="2:5" x14ac:dyDescent="0.35">
      <c r="B6300" s="1"/>
    </row>
    <row r="6301" spans="2:5" x14ac:dyDescent="0.35">
      <c r="B6301" s="1"/>
      <c r="E6301" s="2"/>
    </row>
    <row r="6302" spans="2:5" x14ac:dyDescent="0.35">
      <c r="B6302" s="1"/>
      <c r="E6302" s="2"/>
    </row>
    <row r="6303" spans="2:5" x14ac:dyDescent="0.35">
      <c r="B6303" s="1"/>
      <c r="E6303" s="2"/>
    </row>
    <row r="6304" spans="2:5" x14ac:dyDescent="0.35">
      <c r="B6304" s="1"/>
      <c r="E6304" s="2"/>
    </row>
    <row r="6305" spans="2:5" x14ac:dyDescent="0.35">
      <c r="B6305" s="1"/>
    </row>
    <row r="6306" spans="2:5" x14ac:dyDescent="0.35">
      <c r="B6306" s="1"/>
      <c r="E6306" s="2"/>
    </row>
    <row r="6307" spans="2:5" x14ac:dyDescent="0.35">
      <c r="B6307" s="1"/>
    </row>
    <row r="6308" spans="2:5" x14ac:dyDescent="0.35">
      <c r="B6308" s="1"/>
      <c r="E6308" s="2"/>
    </row>
    <row r="6309" spans="2:5" x14ac:dyDescent="0.35">
      <c r="B6309" s="1"/>
      <c r="E6309" s="2"/>
    </row>
    <row r="6310" spans="2:5" x14ac:dyDescent="0.35">
      <c r="B6310" s="1"/>
      <c r="E6310" s="2"/>
    </row>
    <row r="6311" spans="2:5" x14ac:dyDescent="0.35">
      <c r="B6311" s="1"/>
      <c r="E6311" s="2"/>
    </row>
    <row r="6312" spans="2:5" x14ac:dyDescent="0.35">
      <c r="B6312" s="1"/>
    </row>
    <row r="6313" spans="2:5" x14ac:dyDescent="0.35">
      <c r="B6313" s="1"/>
      <c r="E6313" s="2"/>
    </row>
    <row r="6314" spans="2:5" x14ac:dyDescent="0.35">
      <c r="B6314" s="1"/>
    </row>
    <row r="6315" spans="2:5" x14ac:dyDescent="0.35">
      <c r="B6315" s="1"/>
    </row>
    <row r="6316" spans="2:5" x14ac:dyDescent="0.35">
      <c r="B6316" s="1"/>
    </row>
    <row r="6317" spans="2:5" x14ac:dyDescent="0.35">
      <c r="B6317" s="1"/>
      <c r="E6317" s="2"/>
    </row>
    <row r="6318" spans="2:5" x14ac:dyDescent="0.35">
      <c r="B6318" s="1"/>
    </row>
    <row r="6319" spans="2:5" x14ac:dyDescent="0.35">
      <c r="B6319" s="1"/>
      <c r="E6319" s="2"/>
    </row>
    <row r="6320" spans="2:5" x14ac:dyDescent="0.35">
      <c r="B6320" s="1"/>
      <c r="E6320" s="2"/>
    </row>
    <row r="6321" spans="2:5" x14ac:dyDescent="0.35">
      <c r="B6321" s="1"/>
    </row>
    <row r="6322" spans="2:5" x14ac:dyDescent="0.35">
      <c r="B6322" s="1"/>
    </row>
    <row r="6323" spans="2:5" x14ac:dyDescent="0.35">
      <c r="B6323" s="1"/>
    </row>
    <row r="6324" spans="2:5" x14ac:dyDescent="0.35">
      <c r="B6324" s="1"/>
    </row>
    <row r="6325" spans="2:5" x14ac:dyDescent="0.35">
      <c r="B6325" s="1"/>
      <c r="E6325" s="2"/>
    </row>
    <row r="6326" spans="2:5" x14ac:dyDescent="0.35">
      <c r="B6326" s="1"/>
    </row>
    <row r="6327" spans="2:5" x14ac:dyDescent="0.35">
      <c r="B6327" s="1"/>
      <c r="E6327" s="2"/>
    </row>
    <row r="6328" spans="2:5" x14ac:dyDescent="0.35">
      <c r="B6328" s="1"/>
      <c r="E6328" s="2"/>
    </row>
    <row r="6329" spans="2:5" x14ac:dyDescent="0.35">
      <c r="B6329" s="1"/>
      <c r="E6329" s="2"/>
    </row>
    <row r="6330" spans="2:5" x14ac:dyDescent="0.35">
      <c r="B6330" s="1"/>
      <c r="E6330" s="2"/>
    </row>
    <row r="6331" spans="2:5" x14ac:dyDescent="0.35">
      <c r="B6331" s="1"/>
    </row>
    <row r="6332" spans="2:5" x14ac:dyDescent="0.35">
      <c r="B6332" s="1"/>
    </row>
    <row r="6333" spans="2:5" x14ac:dyDescent="0.35">
      <c r="B6333" s="1"/>
      <c r="E6333" s="2"/>
    </row>
    <row r="6334" spans="2:5" x14ac:dyDescent="0.35">
      <c r="B6334" s="1"/>
      <c r="E6334" s="2"/>
    </row>
    <row r="6335" spans="2:5" x14ac:dyDescent="0.35">
      <c r="B6335" s="1"/>
      <c r="E6335" s="2"/>
    </row>
    <row r="6336" spans="2:5" x14ac:dyDescent="0.35">
      <c r="B6336" s="1"/>
    </row>
    <row r="6337" spans="2:5" x14ac:dyDescent="0.35">
      <c r="B6337" s="1"/>
    </row>
    <row r="6338" spans="2:5" x14ac:dyDescent="0.35">
      <c r="B6338" s="1"/>
      <c r="E6338" s="2"/>
    </row>
    <row r="6339" spans="2:5" x14ac:dyDescent="0.35">
      <c r="B6339" s="1"/>
    </row>
    <row r="6340" spans="2:5" x14ac:dyDescent="0.35">
      <c r="B6340" s="1"/>
      <c r="E6340" s="2"/>
    </row>
    <row r="6341" spans="2:5" x14ac:dyDescent="0.35">
      <c r="B6341" s="1"/>
      <c r="E6341" s="2"/>
    </row>
    <row r="6342" spans="2:5" x14ac:dyDescent="0.35">
      <c r="B6342" s="1"/>
    </row>
    <row r="6343" spans="2:5" x14ac:dyDescent="0.35">
      <c r="B6343" s="1"/>
    </row>
    <row r="6344" spans="2:5" x14ac:dyDescent="0.35">
      <c r="B6344" s="1"/>
      <c r="E6344" s="2"/>
    </row>
    <row r="6345" spans="2:5" x14ac:dyDescent="0.35">
      <c r="B6345" s="1"/>
      <c r="E6345" s="2"/>
    </row>
    <row r="6346" spans="2:5" x14ac:dyDescent="0.35">
      <c r="B6346" s="1"/>
    </row>
    <row r="6347" spans="2:5" x14ac:dyDescent="0.35">
      <c r="B6347" s="1"/>
    </row>
    <row r="6348" spans="2:5" x14ac:dyDescent="0.35">
      <c r="B6348" s="1"/>
      <c r="E6348" s="2"/>
    </row>
    <row r="6349" spans="2:5" x14ac:dyDescent="0.35">
      <c r="B6349" s="1"/>
      <c r="E6349" s="2"/>
    </row>
    <row r="6350" spans="2:5" x14ac:dyDescent="0.35">
      <c r="B6350" s="1"/>
      <c r="E6350" s="2"/>
    </row>
    <row r="6351" spans="2:5" x14ac:dyDescent="0.35">
      <c r="B6351" s="1"/>
      <c r="E6351" s="2"/>
    </row>
    <row r="6352" spans="2:5" x14ac:dyDescent="0.35">
      <c r="B6352" s="1"/>
      <c r="E6352" s="2"/>
    </row>
    <row r="6353" spans="2:5" x14ac:dyDescent="0.35">
      <c r="B6353" s="1"/>
    </row>
    <row r="6354" spans="2:5" x14ac:dyDescent="0.35">
      <c r="B6354" s="1"/>
      <c r="E6354" s="2"/>
    </row>
    <row r="6355" spans="2:5" x14ac:dyDescent="0.35">
      <c r="B6355" s="1"/>
    </row>
    <row r="6356" spans="2:5" x14ac:dyDescent="0.35">
      <c r="B6356" s="1"/>
      <c r="E6356" s="2"/>
    </row>
    <row r="6357" spans="2:5" x14ac:dyDescent="0.35">
      <c r="B6357" s="1"/>
    </row>
    <row r="6358" spans="2:5" x14ac:dyDescent="0.35">
      <c r="B6358" s="1"/>
    </row>
    <row r="6359" spans="2:5" x14ac:dyDescent="0.35">
      <c r="B6359" s="1"/>
      <c r="E6359" s="2"/>
    </row>
    <row r="6360" spans="2:5" x14ac:dyDescent="0.35">
      <c r="B6360" s="1"/>
    </row>
    <row r="6361" spans="2:5" x14ac:dyDescent="0.35">
      <c r="B6361" s="1"/>
    </row>
    <row r="6362" spans="2:5" x14ac:dyDescent="0.35">
      <c r="B6362" s="1"/>
      <c r="E6362" s="2"/>
    </row>
    <row r="6363" spans="2:5" x14ac:dyDescent="0.35">
      <c r="B6363" s="1"/>
    </row>
    <row r="6364" spans="2:5" x14ac:dyDescent="0.35">
      <c r="B6364" s="1"/>
    </row>
    <row r="6365" spans="2:5" x14ac:dyDescent="0.35">
      <c r="B6365" s="1"/>
    </row>
    <row r="6366" spans="2:5" x14ac:dyDescent="0.35">
      <c r="B6366" s="1"/>
      <c r="E6366" s="2"/>
    </row>
    <row r="6367" spans="2:5" x14ac:dyDescent="0.35">
      <c r="B6367" s="1"/>
    </row>
    <row r="6368" spans="2:5" x14ac:dyDescent="0.35">
      <c r="B6368" s="1"/>
    </row>
    <row r="6369" spans="2:5" x14ac:dyDescent="0.35">
      <c r="B6369" s="1"/>
    </row>
    <row r="6370" spans="2:5" x14ac:dyDescent="0.35">
      <c r="B6370" s="1"/>
      <c r="E6370" s="2"/>
    </row>
    <row r="6371" spans="2:5" x14ac:dyDescent="0.35">
      <c r="B6371" s="1"/>
      <c r="E6371" s="2"/>
    </row>
    <row r="6372" spans="2:5" x14ac:dyDescent="0.35">
      <c r="B6372" s="1"/>
    </row>
    <row r="6373" spans="2:5" x14ac:dyDescent="0.35">
      <c r="B6373" s="1"/>
      <c r="E6373" s="2"/>
    </row>
    <row r="6374" spans="2:5" x14ac:dyDescent="0.35">
      <c r="B6374" s="1"/>
      <c r="E6374" s="2"/>
    </row>
    <row r="6375" spans="2:5" x14ac:dyDescent="0.35">
      <c r="B6375" s="1"/>
      <c r="E6375" s="2"/>
    </row>
    <row r="6376" spans="2:5" x14ac:dyDescent="0.35">
      <c r="B6376" s="1"/>
    </row>
    <row r="6377" spans="2:5" x14ac:dyDescent="0.35">
      <c r="B6377" s="1"/>
      <c r="E6377" s="2"/>
    </row>
    <row r="6378" spans="2:5" x14ac:dyDescent="0.35">
      <c r="B6378" s="1"/>
    </row>
    <row r="6379" spans="2:5" x14ac:dyDescent="0.35">
      <c r="B6379" s="1"/>
    </row>
    <row r="6380" spans="2:5" x14ac:dyDescent="0.35">
      <c r="B6380" s="1"/>
    </row>
    <row r="6381" spans="2:5" x14ac:dyDescent="0.35">
      <c r="B6381" s="1"/>
      <c r="E6381" s="2"/>
    </row>
    <row r="6382" spans="2:5" x14ac:dyDescent="0.35">
      <c r="B6382" s="1"/>
    </row>
    <row r="6383" spans="2:5" x14ac:dyDescent="0.35">
      <c r="B6383" s="1"/>
    </row>
    <row r="6384" spans="2:5" x14ac:dyDescent="0.35">
      <c r="B6384" s="1"/>
      <c r="E6384" s="2"/>
    </row>
    <row r="6385" spans="2:5" x14ac:dyDescent="0.35">
      <c r="B6385" s="1"/>
    </row>
    <row r="6386" spans="2:5" x14ac:dyDescent="0.35">
      <c r="B6386" s="1"/>
      <c r="E6386" s="2"/>
    </row>
    <row r="6387" spans="2:5" x14ac:dyDescent="0.35">
      <c r="B6387" s="1"/>
    </row>
    <row r="6388" spans="2:5" x14ac:dyDescent="0.35">
      <c r="B6388" s="1"/>
      <c r="E6388" s="2"/>
    </row>
    <row r="6389" spans="2:5" x14ac:dyDescent="0.35">
      <c r="B6389" s="1"/>
    </row>
    <row r="6390" spans="2:5" x14ac:dyDescent="0.35">
      <c r="B6390" s="1"/>
    </row>
    <row r="6391" spans="2:5" x14ac:dyDescent="0.35">
      <c r="B6391" s="1"/>
    </row>
    <row r="6392" spans="2:5" x14ac:dyDescent="0.35">
      <c r="B6392" s="1"/>
    </row>
    <row r="6393" spans="2:5" x14ac:dyDescent="0.35">
      <c r="B6393" s="1"/>
    </row>
    <row r="6394" spans="2:5" x14ac:dyDescent="0.35">
      <c r="B6394" s="1"/>
    </row>
    <row r="6395" spans="2:5" x14ac:dyDescent="0.35">
      <c r="B6395" s="1"/>
      <c r="E6395" s="2"/>
    </row>
    <row r="6396" spans="2:5" x14ac:dyDescent="0.35">
      <c r="B6396" s="1"/>
    </row>
    <row r="6397" spans="2:5" x14ac:dyDescent="0.35">
      <c r="B6397" s="1"/>
      <c r="E6397" s="2"/>
    </row>
    <row r="6398" spans="2:5" x14ac:dyDescent="0.35">
      <c r="B6398" s="1"/>
    </row>
    <row r="6399" spans="2:5" x14ac:dyDescent="0.35">
      <c r="B6399" s="1"/>
    </row>
    <row r="6400" spans="2:5" x14ac:dyDescent="0.35">
      <c r="B6400" s="1"/>
      <c r="E6400" s="2"/>
    </row>
    <row r="6401" spans="2:5" x14ac:dyDescent="0.35">
      <c r="B6401" s="1"/>
      <c r="E6401" s="2"/>
    </row>
    <row r="6402" spans="2:5" x14ac:dyDescent="0.35">
      <c r="B6402" s="1"/>
      <c r="E6402" s="2"/>
    </row>
    <row r="6403" spans="2:5" x14ac:dyDescent="0.35">
      <c r="B6403" s="1"/>
    </row>
    <row r="6404" spans="2:5" x14ac:dyDescent="0.35">
      <c r="B6404" s="1"/>
    </row>
    <row r="6405" spans="2:5" x14ac:dyDescent="0.35">
      <c r="B6405" s="1"/>
    </row>
    <row r="6406" spans="2:5" x14ac:dyDescent="0.35">
      <c r="B6406" s="1"/>
    </row>
    <row r="6407" spans="2:5" x14ac:dyDescent="0.35">
      <c r="B6407" s="1"/>
      <c r="E6407" s="2"/>
    </row>
    <row r="6408" spans="2:5" x14ac:dyDescent="0.35">
      <c r="B6408" s="1"/>
      <c r="E6408" s="2"/>
    </row>
    <row r="6409" spans="2:5" x14ac:dyDescent="0.35">
      <c r="B6409" s="1"/>
    </row>
    <row r="6410" spans="2:5" x14ac:dyDescent="0.35">
      <c r="B6410" s="1"/>
    </row>
    <row r="6411" spans="2:5" x14ac:dyDescent="0.35">
      <c r="B6411" s="1"/>
      <c r="E6411" s="2"/>
    </row>
    <row r="6412" spans="2:5" x14ac:dyDescent="0.35">
      <c r="B6412" s="1"/>
      <c r="E6412" s="2"/>
    </row>
    <row r="6413" spans="2:5" x14ac:dyDescent="0.35">
      <c r="B6413" s="1"/>
    </row>
    <row r="6414" spans="2:5" x14ac:dyDescent="0.35">
      <c r="B6414" s="1"/>
      <c r="E6414" s="2"/>
    </row>
    <row r="6415" spans="2:5" x14ac:dyDescent="0.35">
      <c r="B6415" s="1"/>
      <c r="E6415" s="2"/>
    </row>
    <row r="6416" spans="2:5" x14ac:dyDescent="0.35">
      <c r="B6416" s="1"/>
    </row>
    <row r="6417" spans="2:5" x14ac:dyDescent="0.35">
      <c r="B6417" s="1"/>
      <c r="E6417" s="2"/>
    </row>
    <row r="6418" spans="2:5" x14ac:dyDescent="0.35">
      <c r="B6418" s="1"/>
      <c r="E6418" s="2"/>
    </row>
    <row r="6419" spans="2:5" x14ac:dyDescent="0.35">
      <c r="B6419" s="1"/>
      <c r="E6419" s="2"/>
    </row>
    <row r="6420" spans="2:5" x14ac:dyDescent="0.35">
      <c r="B6420" s="1"/>
      <c r="E6420" s="2"/>
    </row>
    <row r="6421" spans="2:5" x14ac:dyDescent="0.35">
      <c r="B6421" s="1"/>
    </row>
    <row r="6422" spans="2:5" x14ac:dyDescent="0.35">
      <c r="B6422" s="1"/>
    </row>
    <row r="6423" spans="2:5" x14ac:dyDescent="0.35">
      <c r="B6423" s="1"/>
      <c r="E6423" s="2"/>
    </row>
    <row r="6424" spans="2:5" x14ac:dyDescent="0.35">
      <c r="B6424" s="1"/>
      <c r="E6424" s="2"/>
    </row>
    <row r="6425" spans="2:5" x14ac:dyDescent="0.35">
      <c r="B6425" s="1"/>
      <c r="E6425" s="2"/>
    </row>
    <row r="6426" spans="2:5" x14ac:dyDescent="0.35">
      <c r="B6426" s="1"/>
    </row>
    <row r="6427" spans="2:5" x14ac:dyDescent="0.35">
      <c r="B6427" s="1"/>
      <c r="E6427" s="2"/>
    </row>
    <row r="6428" spans="2:5" x14ac:dyDescent="0.35">
      <c r="B6428" s="1"/>
    </row>
    <row r="6429" spans="2:5" x14ac:dyDescent="0.35">
      <c r="B6429" s="1"/>
      <c r="E6429" s="2"/>
    </row>
    <row r="6430" spans="2:5" x14ac:dyDescent="0.35">
      <c r="B6430" s="1"/>
    </row>
    <row r="6431" spans="2:5" x14ac:dyDescent="0.35">
      <c r="B6431" s="1"/>
      <c r="E6431" s="2"/>
    </row>
    <row r="6432" spans="2:5" x14ac:dyDescent="0.35">
      <c r="B6432" s="1"/>
      <c r="E6432" s="2"/>
    </row>
    <row r="6433" spans="2:5" x14ac:dyDescent="0.35">
      <c r="B6433" s="1"/>
    </row>
    <row r="6434" spans="2:5" x14ac:dyDescent="0.35">
      <c r="B6434" s="1"/>
      <c r="E6434" s="2"/>
    </row>
    <row r="6435" spans="2:5" x14ac:dyDescent="0.35">
      <c r="B6435" s="1"/>
      <c r="E6435" s="2"/>
    </row>
    <row r="6436" spans="2:5" x14ac:dyDescent="0.35">
      <c r="B6436" s="1"/>
    </row>
    <row r="6437" spans="2:5" x14ac:dyDescent="0.35">
      <c r="B6437" s="1"/>
      <c r="E6437" s="2"/>
    </row>
    <row r="6438" spans="2:5" x14ac:dyDescent="0.35">
      <c r="B6438" s="1"/>
      <c r="E6438" s="2"/>
    </row>
    <row r="6439" spans="2:5" x14ac:dyDescent="0.35">
      <c r="B6439" s="1"/>
      <c r="E6439" s="2"/>
    </row>
    <row r="6440" spans="2:5" x14ac:dyDescent="0.35">
      <c r="B6440" s="1"/>
    </row>
    <row r="6441" spans="2:5" x14ac:dyDescent="0.35">
      <c r="B6441" s="1"/>
      <c r="E6441" s="2"/>
    </row>
    <row r="6442" spans="2:5" x14ac:dyDescent="0.35">
      <c r="B6442" s="1"/>
      <c r="E6442" s="2"/>
    </row>
    <row r="6443" spans="2:5" x14ac:dyDescent="0.35">
      <c r="B6443" s="1"/>
      <c r="E6443" s="2"/>
    </row>
    <row r="6444" spans="2:5" x14ac:dyDescent="0.35">
      <c r="B6444" s="1"/>
    </row>
    <row r="6445" spans="2:5" x14ac:dyDescent="0.35">
      <c r="B6445" s="1"/>
      <c r="E6445" s="2"/>
    </row>
    <row r="6446" spans="2:5" x14ac:dyDescent="0.35">
      <c r="B6446" s="1"/>
    </row>
    <row r="6447" spans="2:5" x14ac:dyDescent="0.35">
      <c r="B6447" s="1"/>
    </row>
    <row r="6448" spans="2:5" x14ac:dyDescent="0.35">
      <c r="B6448" s="1"/>
    </row>
    <row r="6449" spans="2:5" x14ac:dyDescent="0.35">
      <c r="B6449" s="1"/>
    </row>
    <row r="6450" spans="2:5" x14ac:dyDescent="0.35">
      <c r="B6450" s="1"/>
    </row>
    <row r="6451" spans="2:5" x14ac:dyDescent="0.35">
      <c r="B6451" s="1"/>
    </row>
    <row r="6452" spans="2:5" x14ac:dyDescent="0.35">
      <c r="B6452" s="1"/>
    </row>
    <row r="6453" spans="2:5" x14ac:dyDescent="0.35">
      <c r="B6453" s="1"/>
    </row>
    <row r="6454" spans="2:5" x14ac:dyDescent="0.35">
      <c r="B6454" s="1"/>
      <c r="E6454" s="2"/>
    </row>
    <row r="6455" spans="2:5" x14ac:dyDescent="0.35">
      <c r="B6455" s="1"/>
      <c r="E6455" s="2"/>
    </row>
    <row r="6456" spans="2:5" x14ac:dyDescent="0.35">
      <c r="B6456" s="1"/>
    </row>
    <row r="6457" spans="2:5" x14ac:dyDescent="0.35">
      <c r="B6457" s="1"/>
      <c r="E6457" s="2"/>
    </row>
    <row r="6458" spans="2:5" x14ac:dyDescent="0.35">
      <c r="B6458" s="1"/>
    </row>
    <row r="6459" spans="2:5" x14ac:dyDescent="0.35">
      <c r="B6459" s="1"/>
      <c r="E6459" s="2"/>
    </row>
    <row r="6460" spans="2:5" x14ac:dyDescent="0.35">
      <c r="B6460" s="1"/>
    </row>
    <row r="6461" spans="2:5" x14ac:dyDescent="0.35">
      <c r="B6461" s="1"/>
      <c r="E6461" s="2"/>
    </row>
    <row r="6462" spans="2:5" x14ac:dyDescent="0.35">
      <c r="B6462" s="1"/>
      <c r="E6462" s="2"/>
    </row>
    <row r="6463" spans="2:5" x14ac:dyDescent="0.35">
      <c r="B6463" s="1"/>
    </row>
    <row r="6464" spans="2:5" x14ac:dyDescent="0.35">
      <c r="B6464" s="1"/>
    </row>
    <row r="6465" spans="2:5" x14ac:dyDescent="0.35">
      <c r="B6465" s="1"/>
      <c r="E6465" s="2"/>
    </row>
    <row r="6466" spans="2:5" x14ac:dyDescent="0.35">
      <c r="B6466" s="1"/>
    </row>
    <row r="6467" spans="2:5" x14ac:dyDescent="0.35">
      <c r="B6467" s="1"/>
      <c r="E6467" s="2"/>
    </row>
    <row r="6468" spans="2:5" x14ac:dyDescent="0.35">
      <c r="B6468" s="1"/>
    </row>
    <row r="6469" spans="2:5" x14ac:dyDescent="0.35">
      <c r="B6469" s="1"/>
      <c r="E6469" s="2"/>
    </row>
    <row r="6470" spans="2:5" x14ac:dyDescent="0.35">
      <c r="B6470" s="1"/>
      <c r="E6470" s="2"/>
    </row>
    <row r="6471" spans="2:5" x14ac:dyDescent="0.35">
      <c r="B6471" s="1"/>
    </row>
    <row r="6472" spans="2:5" x14ac:dyDescent="0.35">
      <c r="B6472" s="1"/>
      <c r="E6472" s="2"/>
    </row>
    <row r="6473" spans="2:5" x14ac:dyDescent="0.35">
      <c r="B6473" s="1"/>
      <c r="E6473" s="2"/>
    </row>
    <row r="6474" spans="2:5" x14ac:dyDescent="0.35">
      <c r="B6474" s="1"/>
      <c r="E6474" s="2"/>
    </row>
    <row r="6475" spans="2:5" x14ac:dyDescent="0.35">
      <c r="B6475" s="1"/>
      <c r="E6475" s="2"/>
    </row>
    <row r="6476" spans="2:5" x14ac:dyDescent="0.35">
      <c r="B6476" s="1"/>
      <c r="E6476" s="2"/>
    </row>
    <row r="6477" spans="2:5" x14ac:dyDescent="0.35">
      <c r="B6477" s="1"/>
    </row>
    <row r="6478" spans="2:5" x14ac:dyDescent="0.35">
      <c r="B6478" s="1"/>
      <c r="E6478" s="2"/>
    </row>
    <row r="6479" spans="2:5" x14ac:dyDescent="0.35">
      <c r="B6479" s="1"/>
    </row>
    <row r="6480" spans="2:5" x14ac:dyDescent="0.35">
      <c r="B6480" s="1"/>
    </row>
    <row r="6481" spans="2:5" x14ac:dyDescent="0.35">
      <c r="B6481" s="1"/>
      <c r="E6481" s="2"/>
    </row>
    <row r="6482" spans="2:5" x14ac:dyDescent="0.35">
      <c r="B6482" s="1"/>
    </row>
    <row r="6483" spans="2:5" x14ac:dyDescent="0.35">
      <c r="B6483" s="1"/>
      <c r="E6483" s="2"/>
    </row>
    <row r="6484" spans="2:5" x14ac:dyDescent="0.35">
      <c r="B6484" s="1"/>
      <c r="E6484" s="2"/>
    </row>
    <row r="6485" spans="2:5" x14ac:dyDescent="0.35">
      <c r="B6485" s="1"/>
    </row>
    <row r="6486" spans="2:5" x14ac:dyDescent="0.35">
      <c r="B6486" s="1"/>
    </row>
    <row r="6487" spans="2:5" x14ac:dyDescent="0.35">
      <c r="B6487" s="1"/>
      <c r="E6487" s="2"/>
    </row>
    <row r="6488" spans="2:5" x14ac:dyDescent="0.35">
      <c r="B6488" s="1"/>
      <c r="E6488" s="2"/>
    </row>
    <row r="6489" spans="2:5" x14ac:dyDescent="0.35">
      <c r="B6489" s="1"/>
    </row>
    <row r="6490" spans="2:5" x14ac:dyDescent="0.35">
      <c r="B6490" s="1"/>
      <c r="E6490" s="2"/>
    </row>
    <row r="6491" spans="2:5" x14ac:dyDescent="0.35">
      <c r="B6491" s="1"/>
      <c r="E6491" s="2"/>
    </row>
    <row r="6492" spans="2:5" x14ac:dyDescent="0.35">
      <c r="B6492" s="1"/>
      <c r="E6492" s="2"/>
    </row>
    <row r="6493" spans="2:5" x14ac:dyDescent="0.35">
      <c r="B6493" s="1"/>
      <c r="E6493" s="2"/>
    </row>
    <row r="6494" spans="2:5" x14ac:dyDescent="0.35">
      <c r="B6494" s="1"/>
      <c r="E6494" s="2"/>
    </row>
    <row r="6495" spans="2:5" x14ac:dyDescent="0.35">
      <c r="B6495" s="1"/>
    </row>
    <row r="6496" spans="2:5" x14ac:dyDescent="0.35">
      <c r="B6496" s="1"/>
      <c r="E6496" s="2"/>
    </row>
    <row r="6497" spans="2:5" x14ac:dyDescent="0.35">
      <c r="B6497" s="1"/>
      <c r="E6497" s="2"/>
    </row>
    <row r="6498" spans="2:5" x14ac:dyDescent="0.35">
      <c r="B6498" s="1"/>
      <c r="E6498" s="2"/>
    </row>
    <row r="6499" spans="2:5" x14ac:dyDescent="0.35">
      <c r="B6499" s="1"/>
      <c r="E6499" s="2"/>
    </row>
    <row r="6500" spans="2:5" x14ac:dyDescent="0.35">
      <c r="B6500" s="1"/>
      <c r="E6500" s="2"/>
    </row>
    <row r="6501" spans="2:5" x14ac:dyDescent="0.35">
      <c r="B6501" s="1"/>
      <c r="E6501" s="2"/>
    </row>
    <row r="6502" spans="2:5" x14ac:dyDescent="0.35">
      <c r="B6502" s="1"/>
      <c r="E6502" s="2"/>
    </row>
    <row r="6503" spans="2:5" x14ac:dyDescent="0.35">
      <c r="B6503" s="1"/>
    </row>
    <row r="6504" spans="2:5" x14ac:dyDescent="0.35">
      <c r="B6504" s="1"/>
      <c r="E6504" s="2"/>
    </row>
    <row r="6505" spans="2:5" x14ac:dyDescent="0.35">
      <c r="B6505" s="1"/>
    </row>
    <row r="6506" spans="2:5" x14ac:dyDescent="0.35">
      <c r="B6506" s="1"/>
    </row>
    <row r="6507" spans="2:5" x14ac:dyDescent="0.35">
      <c r="B6507" s="1"/>
      <c r="E6507" s="2"/>
    </row>
    <row r="6508" spans="2:5" x14ac:dyDescent="0.35">
      <c r="B6508" s="1"/>
      <c r="E6508" s="2"/>
    </row>
    <row r="6509" spans="2:5" x14ac:dyDescent="0.35">
      <c r="B6509" s="1"/>
    </row>
    <row r="6510" spans="2:5" x14ac:dyDescent="0.35">
      <c r="B6510" s="1"/>
    </row>
    <row r="6511" spans="2:5" x14ac:dyDescent="0.35">
      <c r="B6511" s="1"/>
      <c r="E6511" s="2"/>
    </row>
    <row r="6512" spans="2:5" x14ac:dyDescent="0.35">
      <c r="B6512" s="1"/>
      <c r="E6512" s="2"/>
    </row>
    <row r="6513" spans="2:5" x14ac:dyDescent="0.35">
      <c r="B6513" s="1"/>
    </row>
    <row r="6514" spans="2:5" x14ac:dyDescent="0.35">
      <c r="B6514" s="1"/>
    </row>
    <row r="6515" spans="2:5" x14ac:dyDescent="0.35">
      <c r="B6515" s="1"/>
      <c r="E6515" s="2"/>
    </row>
    <row r="6516" spans="2:5" x14ac:dyDescent="0.35">
      <c r="B6516" s="1"/>
      <c r="E6516" s="2"/>
    </row>
    <row r="6517" spans="2:5" x14ac:dyDescent="0.35">
      <c r="B6517" s="1"/>
    </row>
    <row r="6518" spans="2:5" x14ac:dyDescent="0.35">
      <c r="B6518" s="1"/>
    </row>
    <row r="6519" spans="2:5" x14ac:dyDescent="0.35">
      <c r="B6519" s="1"/>
      <c r="E6519" s="2"/>
    </row>
    <row r="6520" spans="2:5" x14ac:dyDescent="0.35">
      <c r="B6520" s="1"/>
    </row>
    <row r="6521" spans="2:5" x14ac:dyDescent="0.35">
      <c r="B6521" s="1"/>
      <c r="E6521" s="2"/>
    </row>
    <row r="6522" spans="2:5" x14ac:dyDescent="0.35">
      <c r="B6522" s="1"/>
      <c r="E6522" s="2"/>
    </row>
    <row r="6523" spans="2:5" x14ac:dyDescent="0.35">
      <c r="B6523" s="1"/>
    </row>
    <row r="6524" spans="2:5" x14ac:dyDescent="0.35">
      <c r="B6524" s="1"/>
      <c r="E6524" s="2"/>
    </row>
    <row r="6525" spans="2:5" x14ac:dyDescent="0.35">
      <c r="B6525" s="1"/>
    </row>
    <row r="6526" spans="2:5" x14ac:dyDescent="0.35">
      <c r="B6526" s="1"/>
      <c r="E6526" s="2"/>
    </row>
    <row r="6527" spans="2:5" x14ac:dyDescent="0.35">
      <c r="B6527" s="1"/>
      <c r="E6527" s="2"/>
    </row>
    <row r="6528" spans="2:5" x14ac:dyDescent="0.35">
      <c r="B6528" s="1"/>
    </row>
    <row r="6529" spans="2:5" x14ac:dyDescent="0.35">
      <c r="B6529" s="1"/>
    </row>
    <row r="6530" spans="2:5" x14ac:dyDescent="0.35">
      <c r="B6530" s="1"/>
    </row>
    <row r="6531" spans="2:5" x14ac:dyDescent="0.35">
      <c r="B6531" s="1"/>
    </row>
    <row r="6532" spans="2:5" x14ac:dyDescent="0.35">
      <c r="B6532" s="1"/>
      <c r="E6532" s="2"/>
    </row>
    <row r="6533" spans="2:5" x14ac:dyDescent="0.35">
      <c r="B6533" s="1"/>
    </row>
    <row r="6534" spans="2:5" x14ac:dyDescent="0.35">
      <c r="B6534" s="1"/>
      <c r="E6534" s="2"/>
    </row>
    <row r="6535" spans="2:5" x14ac:dyDescent="0.35">
      <c r="B6535" s="1"/>
    </row>
    <row r="6536" spans="2:5" x14ac:dyDescent="0.35">
      <c r="B6536" s="1"/>
      <c r="E6536" s="2"/>
    </row>
    <row r="6537" spans="2:5" x14ac:dyDescent="0.35">
      <c r="B6537" s="1"/>
    </row>
    <row r="6538" spans="2:5" x14ac:dyDescent="0.35">
      <c r="B6538" s="1"/>
      <c r="E6538" s="2"/>
    </row>
    <row r="6539" spans="2:5" x14ac:dyDescent="0.35">
      <c r="B6539" s="1"/>
      <c r="E6539" s="2"/>
    </row>
    <row r="6540" spans="2:5" x14ac:dyDescent="0.35">
      <c r="B6540" s="1"/>
      <c r="E6540" s="2"/>
    </row>
    <row r="6541" spans="2:5" x14ac:dyDescent="0.35">
      <c r="B6541" s="1"/>
    </row>
    <row r="6542" spans="2:5" x14ac:dyDescent="0.35">
      <c r="B6542" s="1"/>
      <c r="E6542" s="2"/>
    </row>
    <row r="6543" spans="2:5" x14ac:dyDescent="0.35">
      <c r="B6543" s="1"/>
    </row>
    <row r="6544" spans="2:5" x14ac:dyDescent="0.35">
      <c r="B6544" s="1"/>
      <c r="E6544" s="2"/>
    </row>
    <row r="6545" spans="2:5" x14ac:dyDescent="0.35">
      <c r="B6545" s="1"/>
      <c r="E6545" s="2"/>
    </row>
    <row r="6546" spans="2:5" x14ac:dyDescent="0.35">
      <c r="B6546" s="1"/>
      <c r="E6546" s="2"/>
    </row>
    <row r="6547" spans="2:5" x14ac:dyDescent="0.35">
      <c r="B6547" s="1"/>
      <c r="E6547" s="2"/>
    </row>
    <row r="6548" spans="2:5" x14ac:dyDescent="0.35">
      <c r="B6548" s="1"/>
      <c r="E6548" s="2"/>
    </row>
    <row r="6549" spans="2:5" x14ac:dyDescent="0.35">
      <c r="B6549" s="1"/>
    </row>
    <row r="6550" spans="2:5" x14ac:dyDescent="0.35">
      <c r="B6550" s="1"/>
    </row>
    <row r="6551" spans="2:5" x14ac:dyDescent="0.35">
      <c r="B6551" s="1"/>
      <c r="E6551" s="2"/>
    </row>
    <row r="6552" spans="2:5" x14ac:dyDescent="0.35">
      <c r="B6552" s="1"/>
      <c r="E6552" s="2"/>
    </row>
    <row r="6553" spans="2:5" x14ac:dyDescent="0.35">
      <c r="B6553" s="1"/>
    </row>
    <row r="6554" spans="2:5" x14ac:dyDescent="0.35">
      <c r="B6554" s="1"/>
    </row>
    <row r="6555" spans="2:5" x14ac:dyDescent="0.35">
      <c r="B6555" s="1"/>
    </row>
    <row r="6556" spans="2:5" x14ac:dyDescent="0.35">
      <c r="B6556" s="1"/>
      <c r="E6556" s="2"/>
    </row>
    <row r="6557" spans="2:5" x14ac:dyDescent="0.35">
      <c r="B6557" s="1"/>
    </row>
    <row r="6558" spans="2:5" x14ac:dyDescent="0.35">
      <c r="B6558" s="1"/>
    </row>
    <row r="6559" spans="2:5" x14ac:dyDescent="0.35">
      <c r="B6559" s="1"/>
    </row>
    <row r="6560" spans="2:5" x14ac:dyDescent="0.35">
      <c r="B6560" s="1"/>
      <c r="E6560" s="2"/>
    </row>
    <row r="6561" spans="2:5" x14ac:dyDescent="0.35">
      <c r="B6561" s="1"/>
      <c r="E6561" s="2"/>
    </row>
    <row r="6562" spans="2:5" x14ac:dyDescent="0.35">
      <c r="B6562" s="1"/>
    </row>
    <row r="6563" spans="2:5" x14ac:dyDescent="0.35">
      <c r="B6563" s="1"/>
      <c r="E6563" s="2"/>
    </row>
    <row r="6564" spans="2:5" x14ac:dyDescent="0.35">
      <c r="B6564" s="1"/>
      <c r="E6564" s="2"/>
    </row>
    <row r="6565" spans="2:5" x14ac:dyDescent="0.35">
      <c r="B6565" s="1"/>
      <c r="E6565" s="2"/>
    </row>
    <row r="6566" spans="2:5" x14ac:dyDescent="0.35">
      <c r="B6566" s="1"/>
      <c r="E6566" s="2"/>
    </row>
    <row r="6567" spans="2:5" x14ac:dyDescent="0.35">
      <c r="B6567" s="1"/>
    </row>
    <row r="6568" spans="2:5" x14ac:dyDescent="0.35">
      <c r="B6568" s="1"/>
    </row>
    <row r="6569" spans="2:5" x14ac:dyDescent="0.35">
      <c r="B6569" s="1"/>
      <c r="E6569" s="2"/>
    </row>
    <row r="6570" spans="2:5" x14ac:dyDescent="0.35">
      <c r="B6570" s="1"/>
    </row>
    <row r="6571" spans="2:5" x14ac:dyDescent="0.35">
      <c r="B6571" s="1"/>
      <c r="E6571" s="2"/>
    </row>
    <row r="6572" spans="2:5" x14ac:dyDescent="0.35">
      <c r="B6572" s="1"/>
    </row>
    <row r="6573" spans="2:5" x14ac:dyDescent="0.35">
      <c r="B6573" s="1"/>
      <c r="E6573" s="2"/>
    </row>
    <row r="6574" spans="2:5" x14ac:dyDescent="0.35">
      <c r="B6574" s="1"/>
      <c r="E6574" s="2"/>
    </row>
    <row r="6575" spans="2:5" x14ac:dyDescent="0.35">
      <c r="B6575" s="1"/>
    </row>
    <row r="6576" spans="2:5" x14ac:dyDescent="0.35">
      <c r="B6576" s="1"/>
      <c r="E6576" s="2"/>
    </row>
    <row r="6577" spans="2:5" x14ac:dyDescent="0.35">
      <c r="B6577" s="1"/>
      <c r="E6577" s="2"/>
    </row>
    <row r="6578" spans="2:5" x14ac:dyDescent="0.35">
      <c r="B6578" s="1"/>
    </row>
    <row r="6579" spans="2:5" x14ac:dyDescent="0.35">
      <c r="B6579" s="1"/>
    </row>
    <row r="6580" spans="2:5" x14ac:dyDescent="0.35">
      <c r="B6580" s="1"/>
      <c r="E6580" s="2"/>
    </row>
    <row r="6581" spans="2:5" x14ac:dyDescent="0.35">
      <c r="B6581" s="1"/>
    </row>
    <row r="6582" spans="2:5" x14ac:dyDescent="0.35">
      <c r="B6582" s="1"/>
      <c r="E6582" s="2"/>
    </row>
    <row r="6583" spans="2:5" x14ac:dyDescent="0.35">
      <c r="B6583" s="1"/>
    </row>
    <row r="6584" spans="2:5" x14ac:dyDescent="0.35">
      <c r="B6584" s="1"/>
    </row>
    <row r="6585" spans="2:5" x14ac:dyDescent="0.35">
      <c r="B6585" s="1"/>
    </row>
    <row r="6586" spans="2:5" x14ac:dyDescent="0.35">
      <c r="B6586" s="1"/>
    </row>
    <row r="6587" spans="2:5" x14ac:dyDescent="0.35">
      <c r="B6587" s="1"/>
      <c r="E6587" s="2"/>
    </row>
    <row r="6588" spans="2:5" x14ac:dyDescent="0.35">
      <c r="B6588" s="1"/>
      <c r="E6588" s="2"/>
    </row>
    <row r="6589" spans="2:5" x14ac:dyDescent="0.35">
      <c r="B6589" s="1"/>
      <c r="E6589" s="2"/>
    </row>
    <row r="6590" spans="2:5" x14ac:dyDescent="0.35">
      <c r="B6590" s="1"/>
    </row>
    <row r="6591" spans="2:5" x14ac:dyDescent="0.35">
      <c r="B6591" s="1"/>
    </row>
    <row r="6592" spans="2:5" x14ac:dyDescent="0.35">
      <c r="B6592" s="1"/>
      <c r="E6592" s="2"/>
    </row>
    <row r="6593" spans="2:5" x14ac:dyDescent="0.35">
      <c r="B6593" s="1"/>
      <c r="E6593" s="2"/>
    </row>
    <row r="6594" spans="2:5" x14ac:dyDescent="0.35">
      <c r="B6594" s="1"/>
    </row>
    <row r="6595" spans="2:5" x14ac:dyDescent="0.35">
      <c r="B6595" s="1"/>
      <c r="E6595" s="2"/>
    </row>
    <row r="6596" spans="2:5" x14ac:dyDescent="0.35">
      <c r="B6596" s="1"/>
    </row>
    <row r="6597" spans="2:5" x14ac:dyDescent="0.35">
      <c r="B6597" s="1"/>
      <c r="E6597" s="2"/>
    </row>
    <row r="6598" spans="2:5" x14ac:dyDescent="0.35">
      <c r="B6598" s="1"/>
    </row>
    <row r="6599" spans="2:5" x14ac:dyDescent="0.35">
      <c r="B6599" s="1"/>
      <c r="E6599" s="2"/>
    </row>
    <row r="6600" spans="2:5" x14ac:dyDescent="0.35">
      <c r="B6600" s="1"/>
    </row>
    <row r="6601" spans="2:5" x14ac:dyDescent="0.35">
      <c r="B6601" s="1"/>
      <c r="E6601" s="2"/>
    </row>
    <row r="6602" spans="2:5" x14ac:dyDescent="0.35">
      <c r="B6602" s="1"/>
    </row>
    <row r="6603" spans="2:5" x14ac:dyDescent="0.35">
      <c r="B6603" s="1"/>
    </row>
    <row r="6604" spans="2:5" x14ac:dyDescent="0.35">
      <c r="B6604" s="1"/>
    </row>
    <row r="6605" spans="2:5" x14ac:dyDescent="0.35">
      <c r="B6605" s="1"/>
    </row>
    <row r="6606" spans="2:5" x14ac:dyDescent="0.35">
      <c r="B6606" s="1"/>
      <c r="E6606" s="2"/>
    </row>
    <row r="6607" spans="2:5" x14ac:dyDescent="0.35">
      <c r="B6607" s="1"/>
      <c r="E6607" s="2"/>
    </row>
    <row r="6608" spans="2:5" x14ac:dyDescent="0.35">
      <c r="B6608" s="1"/>
      <c r="E6608" s="2"/>
    </row>
    <row r="6609" spans="2:5" x14ac:dyDescent="0.35">
      <c r="B6609" s="1"/>
    </row>
    <row r="6610" spans="2:5" x14ac:dyDescent="0.35">
      <c r="B6610" s="1"/>
    </row>
    <row r="6611" spans="2:5" x14ac:dyDescent="0.35">
      <c r="B6611" s="1"/>
      <c r="E6611" s="2"/>
    </row>
    <row r="6612" spans="2:5" x14ac:dyDescent="0.35">
      <c r="B6612" s="1"/>
      <c r="E6612" s="2"/>
    </row>
    <row r="6613" spans="2:5" x14ac:dyDescent="0.35">
      <c r="B6613" s="1"/>
      <c r="E6613" s="2"/>
    </row>
    <row r="6614" spans="2:5" x14ac:dyDescent="0.35">
      <c r="B6614" s="1"/>
      <c r="E6614" s="2"/>
    </row>
    <row r="6615" spans="2:5" x14ac:dyDescent="0.35">
      <c r="B6615" s="1"/>
    </row>
    <row r="6616" spans="2:5" x14ac:dyDescent="0.35">
      <c r="B6616" s="1"/>
      <c r="E6616" s="2"/>
    </row>
    <row r="6617" spans="2:5" x14ac:dyDescent="0.35">
      <c r="B6617" s="1"/>
      <c r="E6617" s="2"/>
    </row>
    <row r="6618" spans="2:5" x14ac:dyDescent="0.35">
      <c r="B6618" s="1"/>
      <c r="E6618" s="2"/>
    </row>
    <row r="6619" spans="2:5" x14ac:dyDescent="0.35">
      <c r="B6619" s="1"/>
    </row>
    <row r="6620" spans="2:5" x14ac:dyDescent="0.35">
      <c r="B6620" s="1"/>
      <c r="E6620" s="2"/>
    </row>
    <row r="6621" spans="2:5" x14ac:dyDescent="0.35">
      <c r="B6621" s="1"/>
      <c r="E6621" s="2"/>
    </row>
    <row r="6622" spans="2:5" x14ac:dyDescent="0.35">
      <c r="B6622" s="1"/>
      <c r="E6622" s="2"/>
    </row>
    <row r="6623" spans="2:5" x14ac:dyDescent="0.35">
      <c r="B6623" s="1"/>
      <c r="E6623" s="2"/>
    </row>
    <row r="6624" spans="2:5" x14ac:dyDescent="0.35">
      <c r="B6624" s="1"/>
      <c r="E6624" s="2"/>
    </row>
    <row r="6625" spans="2:5" x14ac:dyDescent="0.35">
      <c r="B6625" s="1"/>
      <c r="E6625" s="2"/>
    </row>
    <row r="6626" spans="2:5" x14ac:dyDescent="0.35">
      <c r="B6626" s="1"/>
      <c r="E6626" s="2"/>
    </row>
    <row r="6627" spans="2:5" x14ac:dyDescent="0.35">
      <c r="B6627" s="1"/>
    </row>
    <row r="6628" spans="2:5" x14ac:dyDescent="0.35">
      <c r="B6628" s="1"/>
    </row>
    <row r="6629" spans="2:5" x14ac:dyDescent="0.35">
      <c r="B6629" s="1"/>
      <c r="E6629" s="2"/>
    </row>
    <row r="6630" spans="2:5" x14ac:dyDescent="0.35">
      <c r="B6630" s="1"/>
      <c r="E6630" s="2"/>
    </row>
    <row r="6631" spans="2:5" x14ac:dyDescent="0.35">
      <c r="B6631" s="1"/>
      <c r="E6631" s="2"/>
    </row>
    <row r="6632" spans="2:5" x14ac:dyDescent="0.35">
      <c r="B6632" s="1"/>
    </row>
    <row r="6633" spans="2:5" x14ac:dyDescent="0.35">
      <c r="B6633" s="1"/>
      <c r="E6633" s="2"/>
    </row>
    <row r="6634" spans="2:5" x14ac:dyDescent="0.35">
      <c r="B6634" s="1"/>
      <c r="E6634" s="2"/>
    </row>
    <row r="6635" spans="2:5" x14ac:dyDescent="0.35">
      <c r="B6635" s="1"/>
      <c r="E6635" s="2"/>
    </row>
    <row r="6636" spans="2:5" x14ac:dyDescent="0.35">
      <c r="B6636" s="1"/>
    </row>
    <row r="6637" spans="2:5" x14ac:dyDescent="0.35">
      <c r="B6637" s="1"/>
    </row>
    <row r="6638" spans="2:5" x14ac:dyDescent="0.35">
      <c r="B6638" s="1"/>
      <c r="E6638" s="2"/>
    </row>
    <row r="6639" spans="2:5" x14ac:dyDescent="0.35">
      <c r="B6639" s="1"/>
    </row>
    <row r="6640" spans="2:5" x14ac:dyDescent="0.35">
      <c r="B6640" s="1"/>
      <c r="E6640" s="2"/>
    </row>
    <row r="6641" spans="2:5" x14ac:dyDescent="0.35">
      <c r="B6641" s="1"/>
      <c r="E6641" s="2"/>
    </row>
    <row r="6642" spans="2:5" x14ac:dyDescent="0.35">
      <c r="B6642" s="1"/>
      <c r="E6642" s="2"/>
    </row>
    <row r="6643" spans="2:5" x14ac:dyDescent="0.35">
      <c r="B6643" s="1"/>
    </row>
    <row r="6644" spans="2:5" x14ac:dyDescent="0.35">
      <c r="B6644" s="1"/>
      <c r="E6644" s="2"/>
    </row>
    <row r="6645" spans="2:5" x14ac:dyDescent="0.35">
      <c r="B6645" s="1"/>
      <c r="E6645" s="2"/>
    </row>
    <row r="6646" spans="2:5" x14ac:dyDescent="0.35">
      <c r="B6646" s="1"/>
    </row>
    <row r="6647" spans="2:5" x14ac:dyDescent="0.35">
      <c r="B6647" s="1"/>
      <c r="E6647" s="2"/>
    </row>
    <row r="6648" spans="2:5" x14ac:dyDescent="0.35">
      <c r="B6648" s="1"/>
    </row>
    <row r="6649" spans="2:5" x14ac:dyDescent="0.35">
      <c r="B6649" s="1"/>
      <c r="E6649" s="2"/>
    </row>
    <row r="6650" spans="2:5" x14ac:dyDescent="0.35">
      <c r="B6650" s="1"/>
      <c r="E6650" s="2"/>
    </row>
    <row r="6651" spans="2:5" x14ac:dyDescent="0.35">
      <c r="B6651" s="1"/>
      <c r="E6651" s="2"/>
    </row>
    <row r="6652" spans="2:5" x14ac:dyDescent="0.35">
      <c r="B6652" s="1"/>
      <c r="E6652" s="2"/>
    </row>
    <row r="6653" spans="2:5" x14ac:dyDescent="0.35">
      <c r="B6653" s="1"/>
      <c r="E6653" s="2"/>
    </row>
    <row r="6654" spans="2:5" x14ac:dyDescent="0.35">
      <c r="B6654" s="1"/>
      <c r="E6654" s="2"/>
    </row>
    <row r="6655" spans="2:5" x14ac:dyDescent="0.35">
      <c r="B6655" s="1"/>
      <c r="E6655" s="2"/>
    </row>
    <row r="6656" spans="2:5" x14ac:dyDescent="0.35">
      <c r="B6656" s="1"/>
      <c r="E6656" s="2"/>
    </row>
    <row r="6657" spans="2:5" x14ac:dyDescent="0.35">
      <c r="B6657" s="1"/>
      <c r="E6657" s="2"/>
    </row>
    <row r="6658" spans="2:5" x14ac:dyDescent="0.35">
      <c r="B6658" s="1"/>
    </row>
    <row r="6659" spans="2:5" x14ac:dyDescent="0.35">
      <c r="B6659" s="1"/>
    </row>
    <row r="6660" spans="2:5" x14ac:dyDescent="0.35">
      <c r="B6660" s="1"/>
      <c r="E6660" s="2"/>
    </row>
    <row r="6661" spans="2:5" x14ac:dyDescent="0.35">
      <c r="B6661" s="1"/>
    </row>
    <row r="6662" spans="2:5" x14ac:dyDescent="0.35">
      <c r="B6662" s="1"/>
    </row>
    <row r="6663" spans="2:5" x14ac:dyDescent="0.35">
      <c r="B6663" s="1"/>
      <c r="E6663" s="2"/>
    </row>
    <row r="6664" spans="2:5" x14ac:dyDescent="0.35">
      <c r="B6664" s="1"/>
    </row>
    <row r="6665" spans="2:5" x14ac:dyDescent="0.35">
      <c r="B6665" s="1"/>
    </row>
    <row r="6666" spans="2:5" x14ac:dyDescent="0.35">
      <c r="B6666" s="1"/>
      <c r="E6666" s="2"/>
    </row>
    <row r="6667" spans="2:5" x14ac:dyDescent="0.35">
      <c r="B6667" s="1"/>
    </row>
    <row r="6668" spans="2:5" x14ac:dyDescent="0.35">
      <c r="B6668" s="1"/>
    </row>
    <row r="6669" spans="2:5" x14ac:dyDescent="0.35">
      <c r="B6669" s="1"/>
      <c r="E6669" s="2"/>
    </row>
    <row r="6670" spans="2:5" x14ac:dyDescent="0.35">
      <c r="B6670" s="1"/>
      <c r="E6670" s="2"/>
    </row>
    <row r="6671" spans="2:5" x14ac:dyDescent="0.35">
      <c r="B6671" s="1"/>
    </row>
    <row r="6672" spans="2:5" x14ac:dyDescent="0.35">
      <c r="B6672" s="1"/>
    </row>
    <row r="6673" spans="2:5" x14ac:dyDescent="0.35">
      <c r="B6673" s="1"/>
    </row>
    <row r="6674" spans="2:5" x14ac:dyDescent="0.35">
      <c r="B6674" s="1"/>
      <c r="E6674" s="2"/>
    </row>
    <row r="6675" spans="2:5" x14ac:dyDescent="0.35">
      <c r="B6675" s="1"/>
      <c r="E6675" s="2"/>
    </row>
    <row r="6676" spans="2:5" x14ac:dyDescent="0.35">
      <c r="B6676" s="1"/>
    </row>
    <row r="6677" spans="2:5" x14ac:dyDescent="0.35">
      <c r="B6677" s="1"/>
    </row>
    <row r="6678" spans="2:5" x14ac:dyDescent="0.35">
      <c r="B6678" s="1"/>
      <c r="E6678" s="2"/>
    </row>
    <row r="6679" spans="2:5" x14ac:dyDescent="0.35">
      <c r="B6679" s="1"/>
      <c r="E6679" s="2"/>
    </row>
    <row r="6680" spans="2:5" x14ac:dyDescent="0.35">
      <c r="B6680" s="1"/>
      <c r="E6680" s="2"/>
    </row>
    <row r="6681" spans="2:5" x14ac:dyDescent="0.35">
      <c r="B6681" s="1"/>
    </row>
    <row r="6682" spans="2:5" x14ac:dyDescent="0.35">
      <c r="B6682" s="1"/>
      <c r="E6682" s="2"/>
    </row>
    <row r="6683" spans="2:5" x14ac:dyDescent="0.35">
      <c r="B6683" s="1"/>
      <c r="E6683" s="2"/>
    </row>
    <row r="6684" spans="2:5" x14ac:dyDescent="0.35">
      <c r="B6684" s="1"/>
    </row>
    <row r="6685" spans="2:5" x14ac:dyDescent="0.35">
      <c r="B6685" s="1"/>
    </row>
    <row r="6686" spans="2:5" x14ac:dyDescent="0.35">
      <c r="B6686" s="1"/>
      <c r="E6686" s="2"/>
    </row>
    <row r="6687" spans="2:5" x14ac:dyDescent="0.35">
      <c r="B6687" s="1"/>
    </row>
    <row r="6688" spans="2:5" x14ac:dyDescent="0.35">
      <c r="B6688" s="1"/>
      <c r="E6688" s="2"/>
    </row>
    <row r="6689" spans="2:5" x14ac:dyDescent="0.35">
      <c r="B6689" s="1"/>
    </row>
    <row r="6690" spans="2:5" x14ac:dyDescent="0.35">
      <c r="B6690" s="1"/>
      <c r="E6690" s="2"/>
    </row>
    <row r="6691" spans="2:5" x14ac:dyDescent="0.35">
      <c r="B6691" s="1"/>
    </row>
    <row r="6692" spans="2:5" x14ac:dyDescent="0.35">
      <c r="B6692" s="1"/>
    </row>
    <row r="6693" spans="2:5" x14ac:dyDescent="0.35">
      <c r="B6693" s="1"/>
      <c r="E6693" s="2"/>
    </row>
    <row r="6694" spans="2:5" x14ac:dyDescent="0.35">
      <c r="B6694" s="1"/>
    </row>
    <row r="6695" spans="2:5" x14ac:dyDescent="0.35">
      <c r="B6695" s="1"/>
      <c r="E6695" s="2"/>
    </row>
    <row r="6696" spans="2:5" x14ac:dyDescent="0.35">
      <c r="B6696" s="1"/>
    </row>
    <row r="6697" spans="2:5" x14ac:dyDescent="0.35">
      <c r="B6697" s="1"/>
      <c r="E6697" s="2"/>
    </row>
    <row r="6698" spans="2:5" x14ac:dyDescent="0.35">
      <c r="B6698" s="1"/>
      <c r="E6698" s="2"/>
    </row>
    <row r="6699" spans="2:5" x14ac:dyDescent="0.35">
      <c r="B6699" s="1"/>
      <c r="E6699" s="2"/>
    </row>
    <row r="6700" spans="2:5" x14ac:dyDescent="0.35">
      <c r="B6700" s="1"/>
    </row>
    <row r="6701" spans="2:5" x14ac:dyDescent="0.35">
      <c r="B6701" s="1"/>
    </row>
    <row r="6702" spans="2:5" x14ac:dyDescent="0.35">
      <c r="B6702" s="1"/>
      <c r="E6702" s="2"/>
    </row>
    <row r="6703" spans="2:5" x14ac:dyDescent="0.35">
      <c r="B6703" s="1"/>
      <c r="E6703" s="2"/>
    </row>
    <row r="6704" spans="2:5" x14ac:dyDescent="0.35">
      <c r="B6704" s="1"/>
      <c r="E6704" s="2"/>
    </row>
    <row r="6705" spans="2:5" x14ac:dyDescent="0.35">
      <c r="B6705" s="1"/>
      <c r="E6705" s="2"/>
    </row>
    <row r="6706" spans="2:5" x14ac:dyDescent="0.35">
      <c r="B6706" s="1"/>
    </row>
    <row r="6707" spans="2:5" x14ac:dyDescent="0.35">
      <c r="B6707" s="1"/>
    </row>
    <row r="6708" spans="2:5" x14ac:dyDescent="0.35">
      <c r="B6708" s="1"/>
    </row>
    <row r="6709" spans="2:5" x14ac:dyDescent="0.35">
      <c r="B6709" s="1"/>
    </row>
    <row r="6710" spans="2:5" x14ac:dyDescent="0.35">
      <c r="B6710" s="1"/>
    </row>
    <row r="6711" spans="2:5" x14ac:dyDescent="0.35">
      <c r="B6711" s="1"/>
    </row>
    <row r="6712" spans="2:5" x14ac:dyDescent="0.35">
      <c r="B6712" s="1"/>
      <c r="E6712" s="2"/>
    </row>
    <row r="6713" spans="2:5" x14ac:dyDescent="0.35">
      <c r="B6713" s="1"/>
    </row>
    <row r="6714" spans="2:5" x14ac:dyDescent="0.35">
      <c r="B6714" s="1"/>
      <c r="E6714" s="2"/>
    </row>
    <row r="6715" spans="2:5" x14ac:dyDescent="0.35">
      <c r="B6715" s="1"/>
    </row>
    <row r="6716" spans="2:5" x14ac:dyDescent="0.35">
      <c r="B6716" s="1"/>
      <c r="E6716" s="2"/>
    </row>
    <row r="6717" spans="2:5" x14ac:dyDescent="0.35">
      <c r="B6717" s="1"/>
    </row>
    <row r="6718" spans="2:5" x14ac:dyDescent="0.35">
      <c r="B6718" s="1"/>
      <c r="E6718" s="2"/>
    </row>
    <row r="6719" spans="2:5" x14ac:dyDescent="0.35">
      <c r="B6719" s="1"/>
      <c r="E6719" s="2"/>
    </row>
    <row r="6720" spans="2:5" x14ac:dyDescent="0.35">
      <c r="B6720" s="1"/>
      <c r="E6720" s="2"/>
    </row>
    <row r="6721" spans="2:5" x14ac:dyDescent="0.35">
      <c r="B6721" s="1"/>
    </row>
    <row r="6722" spans="2:5" x14ac:dyDescent="0.35">
      <c r="B6722" s="1"/>
      <c r="E6722" s="2"/>
    </row>
    <row r="6723" spans="2:5" x14ac:dyDescent="0.35">
      <c r="B6723" s="1"/>
      <c r="E6723" s="2"/>
    </row>
    <row r="6724" spans="2:5" x14ac:dyDescent="0.35">
      <c r="B6724" s="1"/>
    </row>
    <row r="6725" spans="2:5" x14ac:dyDescent="0.35">
      <c r="B6725" s="1"/>
    </row>
    <row r="6726" spans="2:5" x14ac:dyDescent="0.35">
      <c r="B6726" s="1"/>
      <c r="E6726" s="2"/>
    </row>
    <row r="6727" spans="2:5" x14ac:dyDescent="0.35">
      <c r="B6727" s="1"/>
    </row>
    <row r="6728" spans="2:5" x14ac:dyDescent="0.35">
      <c r="B6728" s="1"/>
    </row>
    <row r="6729" spans="2:5" x14ac:dyDescent="0.35">
      <c r="B6729" s="1"/>
      <c r="E6729" s="2"/>
    </row>
    <row r="6730" spans="2:5" x14ac:dyDescent="0.35">
      <c r="B6730" s="1"/>
      <c r="E6730" s="2"/>
    </row>
    <row r="6731" spans="2:5" x14ac:dyDescent="0.35">
      <c r="B6731" s="1"/>
      <c r="E6731" s="2"/>
    </row>
    <row r="6732" spans="2:5" x14ac:dyDescent="0.35">
      <c r="B6732" s="1"/>
      <c r="E6732" s="2"/>
    </row>
    <row r="6733" spans="2:5" x14ac:dyDescent="0.35">
      <c r="B6733" s="1"/>
    </row>
    <row r="6734" spans="2:5" x14ac:dyDescent="0.35">
      <c r="B6734" s="1"/>
    </row>
    <row r="6735" spans="2:5" x14ac:dyDescent="0.35">
      <c r="B6735" s="1"/>
    </row>
    <row r="6736" spans="2:5" x14ac:dyDescent="0.35">
      <c r="B6736" s="1"/>
      <c r="E6736" s="2"/>
    </row>
    <row r="6737" spans="2:5" x14ac:dyDescent="0.35">
      <c r="B6737" s="1"/>
      <c r="E6737" s="2"/>
    </row>
    <row r="6738" spans="2:5" x14ac:dyDescent="0.35">
      <c r="B6738" s="1"/>
      <c r="E6738" s="2"/>
    </row>
    <row r="6739" spans="2:5" x14ac:dyDescent="0.35">
      <c r="B6739" s="1"/>
    </row>
    <row r="6740" spans="2:5" x14ac:dyDescent="0.35">
      <c r="B6740" s="1"/>
      <c r="E6740" s="2"/>
    </row>
    <row r="6741" spans="2:5" x14ac:dyDescent="0.35">
      <c r="B6741" s="1"/>
      <c r="E6741" s="2"/>
    </row>
    <row r="6742" spans="2:5" x14ac:dyDescent="0.35">
      <c r="B6742" s="1"/>
    </row>
    <row r="6743" spans="2:5" x14ac:dyDescent="0.35">
      <c r="B6743" s="1"/>
    </row>
    <row r="6744" spans="2:5" x14ac:dyDescent="0.35">
      <c r="B6744" s="1"/>
      <c r="E6744" s="2"/>
    </row>
    <row r="6745" spans="2:5" x14ac:dyDescent="0.35">
      <c r="B6745" s="1"/>
    </row>
    <row r="6746" spans="2:5" x14ac:dyDescent="0.35">
      <c r="B6746" s="1"/>
    </row>
    <row r="6747" spans="2:5" x14ac:dyDescent="0.35">
      <c r="B6747" s="1"/>
      <c r="E6747" s="2"/>
    </row>
    <row r="6748" spans="2:5" x14ac:dyDescent="0.35">
      <c r="B6748" s="1"/>
    </row>
    <row r="6749" spans="2:5" x14ac:dyDescent="0.35">
      <c r="B6749" s="1"/>
      <c r="E6749" s="2"/>
    </row>
    <row r="6750" spans="2:5" x14ac:dyDescent="0.35">
      <c r="B6750" s="1"/>
    </row>
    <row r="6751" spans="2:5" x14ac:dyDescent="0.35">
      <c r="B6751" s="1"/>
      <c r="E6751" s="2"/>
    </row>
    <row r="6752" spans="2:5" x14ac:dyDescent="0.35">
      <c r="B6752" s="1"/>
      <c r="E6752" s="2"/>
    </row>
    <row r="6753" spans="2:5" x14ac:dyDescent="0.35">
      <c r="B6753" s="1"/>
      <c r="E6753" s="2"/>
    </row>
    <row r="6754" spans="2:5" x14ac:dyDescent="0.35">
      <c r="B6754" s="1"/>
      <c r="E6754" s="2"/>
    </row>
    <row r="6755" spans="2:5" x14ac:dyDescent="0.35">
      <c r="B6755" s="1"/>
    </row>
    <row r="6756" spans="2:5" x14ac:dyDescent="0.35">
      <c r="B6756" s="1"/>
    </row>
    <row r="6757" spans="2:5" x14ac:dyDescent="0.35">
      <c r="B6757" s="1"/>
      <c r="E6757" s="2"/>
    </row>
    <row r="6758" spans="2:5" x14ac:dyDescent="0.35">
      <c r="B6758" s="1"/>
      <c r="E6758" s="2"/>
    </row>
    <row r="6759" spans="2:5" x14ac:dyDescent="0.35">
      <c r="B6759" s="1"/>
    </row>
    <row r="6760" spans="2:5" x14ac:dyDescent="0.35">
      <c r="B6760" s="1"/>
    </row>
    <row r="6761" spans="2:5" x14ac:dyDescent="0.35">
      <c r="B6761" s="1"/>
    </row>
    <row r="6762" spans="2:5" x14ac:dyDescent="0.35">
      <c r="B6762" s="1"/>
      <c r="E6762" s="2"/>
    </row>
    <row r="6763" spans="2:5" x14ac:dyDescent="0.35">
      <c r="B6763" s="1"/>
      <c r="E6763" s="2"/>
    </row>
    <row r="6764" spans="2:5" x14ac:dyDescent="0.35">
      <c r="B6764" s="1"/>
      <c r="E6764" s="2"/>
    </row>
    <row r="6765" spans="2:5" x14ac:dyDescent="0.35">
      <c r="B6765" s="1"/>
      <c r="E6765" s="2"/>
    </row>
    <row r="6766" spans="2:5" x14ac:dyDescent="0.35">
      <c r="B6766" s="1"/>
    </row>
    <row r="6767" spans="2:5" x14ac:dyDescent="0.35">
      <c r="B6767" s="1"/>
      <c r="E6767" s="2"/>
    </row>
    <row r="6768" spans="2:5" x14ac:dyDescent="0.35">
      <c r="B6768" s="1"/>
    </row>
    <row r="6769" spans="2:5" x14ac:dyDescent="0.35">
      <c r="B6769" s="1"/>
    </row>
    <row r="6770" spans="2:5" x14ac:dyDescent="0.35">
      <c r="B6770" s="1"/>
    </row>
    <row r="6771" spans="2:5" x14ac:dyDescent="0.35">
      <c r="B6771" s="1"/>
      <c r="E6771" s="2"/>
    </row>
    <row r="6772" spans="2:5" x14ac:dyDescent="0.35">
      <c r="B6772" s="1"/>
    </row>
    <row r="6773" spans="2:5" x14ac:dyDescent="0.35">
      <c r="B6773" s="1"/>
    </row>
    <row r="6774" spans="2:5" x14ac:dyDescent="0.35">
      <c r="B6774" s="1"/>
      <c r="E6774" s="2"/>
    </row>
    <row r="6775" spans="2:5" x14ac:dyDescent="0.35">
      <c r="B6775" s="1"/>
    </row>
    <row r="6776" spans="2:5" x14ac:dyDescent="0.35">
      <c r="B6776" s="1"/>
      <c r="E6776" s="2"/>
    </row>
    <row r="6777" spans="2:5" x14ac:dyDescent="0.35">
      <c r="B6777" s="1"/>
      <c r="E6777" s="2"/>
    </row>
    <row r="6778" spans="2:5" x14ac:dyDescent="0.35">
      <c r="B6778" s="1"/>
    </row>
    <row r="6779" spans="2:5" x14ac:dyDescent="0.35">
      <c r="B6779" s="1"/>
      <c r="E6779" s="2"/>
    </row>
    <row r="6780" spans="2:5" x14ac:dyDescent="0.35">
      <c r="B6780" s="1"/>
      <c r="E6780" s="2"/>
    </row>
    <row r="6781" spans="2:5" x14ac:dyDescent="0.35">
      <c r="B6781" s="1"/>
    </row>
    <row r="6782" spans="2:5" x14ac:dyDescent="0.35">
      <c r="B6782" s="1"/>
      <c r="E6782" s="2"/>
    </row>
    <row r="6783" spans="2:5" x14ac:dyDescent="0.35">
      <c r="B6783" s="1"/>
      <c r="E6783" s="2"/>
    </row>
    <row r="6784" spans="2:5" x14ac:dyDescent="0.35">
      <c r="B6784" s="1"/>
    </row>
    <row r="6785" spans="2:5" x14ac:dyDescent="0.35">
      <c r="B6785" s="1"/>
    </row>
    <row r="6786" spans="2:5" x14ac:dyDescent="0.35">
      <c r="B6786" s="1"/>
      <c r="E6786" s="2"/>
    </row>
    <row r="6787" spans="2:5" x14ac:dyDescent="0.35">
      <c r="B6787" s="1"/>
    </row>
    <row r="6788" spans="2:5" x14ac:dyDescent="0.35">
      <c r="B6788" s="1"/>
      <c r="E6788" s="2"/>
    </row>
    <row r="6789" spans="2:5" x14ac:dyDescent="0.35">
      <c r="B6789" s="1"/>
      <c r="E6789" s="2"/>
    </row>
    <row r="6790" spans="2:5" x14ac:dyDescent="0.35">
      <c r="B6790" s="1"/>
    </row>
    <row r="6791" spans="2:5" x14ac:dyDescent="0.35">
      <c r="B6791" s="1"/>
      <c r="E6791" s="2"/>
    </row>
    <row r="6792" spans="2:5" x14ac:dyDescent="0.35">
      <c r="B6792" s="1"/>
      <c r="E6792" s="2"/>
    </row>
    <row r="6793" spans="2:5" x14ac:dyDescent="0.35">
      <c r="B6793" s="1"/>
    </row>
    <row r="6794" spans="2:5" x14ac:dyDescent="0.35">
      <c r="B6794" s="1"/>
    </row>
    <row r="6795" spans="2:5" x14ac:dyDescent="0.35">
      <c r="B6795" s="1"/>
      <c r="E6795" s="2"/>
    </row>
    <row r="6796" spans="2:5" x14ac:dyDescent="0.35">
      <c r="B6796" s="1"/>
      <c r="E6796" s="2"/>
    </row>
    <row r="6797" spans="2:5" x14ac:dyDescent="0.35">
      <c r="B6797" s="1"/>
    </row>
    <row r="6798" spans="2:5" x14ac:dyDescent="0.35">
      <c r="B6798" s="1"/>
      <c r="E6798" s="2"/>
    </row>
    <row r="6799" spans="2:5" x14ac:dyDescent="0.35">
      <c r="B6799" s="1"/>
      <c r="E6799" s="2"/>
    </row>
    <row r="6800" spans="2:5" x14ac:dyDescent="0.35">
      <c r="B6800" s="1"/>
    </row>
    <row r="6801" spans="2:5" x14ac:dyDescent="0.35">
      <c r="B6801" s="1"/>
      <c r="E6801" s="2"/>
    </row>
    <row r="6802" spans="2:5" x14ac:dyDescent="0.35">
      <c r="B6802" s="1"/>
      <c r="E6802" s="2"/>
    </row>
    <row r="6803" spans="2:5" x14ac:dyDescent="0.35">
      <c r="B6803" s="1"/>
      <c r="E6803" s="2"/>
    </row>
    <row r="6804" spans="2:5" x14ac:dyDescent="0.35">
      <c r="B6804" s="1"/>
    </row>
    <row r="6805" spans="2:5" x14ac:dyDescent="0.35">
      <c r="B6805" s="1"/>
    </row>
    <row r="6806" spans="2:5" x14ac:dyDescent="0.35">
      <c r="B6806" s="1"/>
    </row>
    <row r="6807" spans="2:5" x14ac:dyDescent="0.35">
      <c r="B6807" s="1"/>
    </row>
    <row r="6808" spans="2:5" x14ac:dyDescent="0.35">
      <c r="B6808" s="1"/>
      <c r="E6808" s="2"/>
    </row>
    <row r="6809" spans="2:5" x14ac:dyDescent="0.35">
      <c r="B6809" s="1"/>
    </row>
    <row r="6810" spans="2:5" x14ac:dyDescent="0.35">
      <c r="B6810" s="1"/>
      <c r="E6810" s="2"/>
    </row>
    <row r="6811" spans="2:5" x14ac:dyDescent="0.35">
      <c r="B6811" s="1"/>
    </row>
    <row r="6812" spans="2:5" x14ac:dyDescent="0.35">
      <c r="B6812" s="1"/>
      <c r="E6812" s="2"/>
    </row>
    <row r="6813" spans="2:5" x14ac:dyDescent="0.35">
      <c r="B6813" s="1"/>
      <c r="E6813" s="2"/>
    </row>
    <row r="6814" spans="2:5" x14ac:dyDescent="0.35">
      <c r="B6814" s="1"/>
      <c r="E6814" s="2"/>
    </row>
    <row r="6815" spans="2:5" x14ac:dyDescent="0.35">
      <c r="B6815" s="1"/>
      <c r="E6815" s="2"/>
    </row>
    <row r="6816" spans="2:5" x14ac:dyDescent="0.35">
      <c r="B6816" s="1"/>
      <c r="E6816" s="2"/>
    </row>
    <row r="6817" spans="2:5" x14ac:dyDescent="0.35">
      <c r="B6817" s="1"/>
    </row>
    <row r="6818" spans="2:5" x14ac:dyDescent="0.35">
      <c r="B6818" s="1"/>
    </row>
    <row r="6819" spans="2:5" x14ac:dyDescent="0.35">
      <c r="B6819" s="1"/>
    </row>
    <row r="6820" spans="2:5" x14ac:dyDescent="0.35">
      <c r="B6820" s="1"/>
      <c r="E6820" s="2"/>
    </row>
    <row r="6821" spans="2:5" x14ac:dyDescent="0.35">
      <c r="B6821" s="1"/>
      <c r="E6821" s="2"/>
    </row>
    <row r="6822" spans="2:5" x14ac:dyDescent="0.35">
      <c r="B6822" s="1"/>
      <c r="E6822" s="2"/>
    </row>
    <row r="6823" spans="2:5" x14ac:dyDescent="0.35">
      <c r="B6823" s="1"/>
    </row>
    <row r="6824" spans="2:5" x14ac:dyDescent="0.35">
      <c r="B6824" s="1"/>
    </row>
    <row r="6825" spans="2:5" x14ac:dyDescent="0.35">
      <c r="B6825" s="1"/>
      <c r="E6825" s="2"/>
    </row>
    <row r="6826" spans="2:5" x14ac:dyDescent="0.35">
      <c r="B6826" s="1"/>
      <c r="E6826" s="2"/>
    </row>
    <row r="6827" spans="2:5" x14ac:dyDescent="0.35">
      <c r="B6827" s="1"/>
    </row>
    <row r="6828" spans="2:5" x14ac:dyDescent="0.35">
      <c r="B6828" s="1"/>
    </row>
    <row r="6829" spans="2:5" x14ac:dyDescent="0.35">
      <c r="B6829" s="1"/>
    </row>
    <row r="6830" spans="2:5" x14ac:dyDescent="0.35">
      <c r="B6830" s="1"/>
      <c r="E6830" s="2"/>
    </row>
    <row r="6831" spans="2:5" x14ac:dyDescent="0.35">
      <c r="B6831" s="1"/>
    </row>
    <row r="6832" spans="2:5" x14ac:dyDescent="0.35">
      <c r="B6832" s="1"/>
      <c r="E6832" s="2"/>
    </row>
    <row r="6833" spans="2:5" x14ac:dyDescent="0.35">
      <c r="B6833" s="1"/>
    </row>
    <row r="6834" spans="2:5" x14ac:dyDescent="0.35">
      <c r="B6834" s="1"/>
      <c r="E6834" s="2"/>
    </row>
    <row r="6835" spans="2:5" x14ac:dyDescent="0.35">
      <c r="B6835" s="1"/>
      <c r="E6835" s="2"/>
    </row>
    <row r="6836" spans="2:5" x14ac:dyDescent="0.35">
      <c r="B6836" s="1"/>
      <c r="E6836" s="2"/>
    </row>
    <row r="6837" spans="2:5" x14ac:dyDescent="0.35">
      <c r="B6837" s="1"/>
      <c r="E6837" s="2"/>
    </row>
    <row r="6838" spans="2:5" x14ac:dyDescent="0.35">
      <c r="B6838" s="1"/>
      <c r="E6838" s="2"/>
    </row>
    <row r="6839" spans="2:5" x14ac:dyDescent="0.35">
      <c r="B6839" s="1"/>
    </row>
    <row r="6840" spans="2:5" x14ac:dyDescent="0.35">
      <c r="B6840" s="1"/>
      <c r="E6840" s="2"/>
    </row>
    <row r="6841" spans="2:5" x14ac:dyDescent="0.35">
      <c r="B6841" s="1"/>
    </row>
    <row r="6842" spans="2:5" x14ac:dyDescent="0.35">
      <c r="B6842" s="1"/>
    </row>
    <row r="6843" spans="2:5" x14ac:dyDescent="0.35">
      <c r="B6843" s="1"/>
      <c r="E6843" s="2"/>
    </row>
    <row r="6844" spans="2:5" x14ac:dyDescent="0.35">
      <c r="B6844" s="1"/>
    </row>
    <row r="6845" spans="2:5" x14ac:dyDescent="0.35">
      <c r="B6845" s="1"/>
    </row>
    <row r="6846" spans="2:5" x14ac:dyDescent="0.35">
      <c r="B6846" s="1"/>
      <c r="E6846" s="2"/>
    </row>
    <row r="6847" spans="2:5" x14ac:dyDescent="0.35">
      <c r="B6847" s="1"/>
      <c r="E6847" s="2"/>
    </row>
    <row r="6848" spans="2:5" x14ac:dyDescent="0.35">
      <c r="B6848" s="1"/>
    </row>
    <row r="6849" spans="2:5" x14ac:dyDescent="0.35">
      <c r="B6849" s="1"/>
    </row>
    <row r="6850" spans="2:5" x14ac:dyDescent="0.35">
      <c r="B6850" s="1"/>
      <c r="E6850" s="2"/>
    </row>
    <row r="6851" spans="2:5" x14ac:dyDescent="0.35">
      <c r="B6851" s="1"/>
    </row>
    <row r="6852" spans="2:5" x14ac:dyDescent="0.35">
      <c r="B6852" s="1"/>
      <c r="E6852" s="2"/>
    </row>
    <row r="6853" spans="2:5" x14ac:dyDescent="0.35">
      <c r="B6853" s="1"/>
    </row>
    <row r="6854" spans="2:5" x14ac:dyDescent="0.35">
      <c r="B6854" s="1"/>
      <c r="E6854" s="2"/>
    </row>
    <row r="6855" spans="2:5" x14ac:dyDescent="0.35">
      <c r="B6855" s="1"/>
    </row>
    <row r="6856" spans="2:5" x14ac:dyDescent="0.35">
      <c r="B6856" s="1"/>
      <c r="E6856" s="2"/>
    </row>
    <row r="6857" spans="2:5" x14ac:dyDescent="0.35">
      <c r="B6857" s="1"/>
      <c r="E6857" s="2"/>
    </row>
    <row r="6858" spans="2:5" x14ac:dyDescent="0.35">
      <c r="B6858" s="1"/>
      <c r="E6858" s="2"/>
    </row>
    <row r="6859" spans="2:5" x14ac:dyDescent="0.35">
      <c r="B6859" s="1"/>
      <c r="E6859" s="2"/>
    </row>
    <row r="6860" spans="2:5" x14ac:dyDescent="0.35">
      <c r="B6860" s="1"/>
    </row>
    <row r="6861" spans="2:5" x14ac:dyDescent="0.35">
      <c r="B6861" s="1"/>
    </row>
    <row r="6862" spans="2:5" x14ac:dyDescent="0.35">
      <c r="B6862" s="1"/>
      <c r="E6862" s="2"/>
    </row>
    <row r="6863" spans="2:5" x14ac:dyDescent="0.35">
      <c r="B6863" s="1"/>
      <c r="E6863" s="2"/>
    </row>
    <row r="6864" spans="2:5" x14ac:dyDescent="0.35">
      <c r="B6864" s="1"/>
    </row>
    <row r="6865" spans="2:5" x14ac:dyDescent="0.35">
      <c r="B6865" s="1"/>
      <c r="E6865" s="2"/>
    </row>
    <row r="6866" spans="2:5" x14ac:dyDescent="0.35">
      <c r="B6866" s="1"/>
      <c r="E6866" s="2"/>
    </row>
    <row r="6867" spans="2:5" x14ac:dyDescent="0.35">
      <c r="B6867" s="1"/>
    </row>
    <row r="6868" spans="2:5" x14ac:dyDescent="0.35">
      <c r="B6868" s="1"/>
      <c r="E6868" s="2"/>
    </row>
    <row r="6869" spans="2:5" x14ac:dyDescent="0.35">
      <c r="B6869" s="1"/>
    </row>
    <row r="6870" spans="2:5" x14ac:dyDescent="0.35">
      <c r="B6870" s="1"/>
    </row>
    <row r="6871" spans="2:5" x14ac:dyDescent="0.35">
      <c r="B6871" s="1"/>
      <c r="E6871" s="2"/>
    </row>
    <row r="6872" spans="2:5" x14ac:dyDescent="0.35">
      <c r="B6872" s="1"/>
    </row>
    <row r="6873" spans="2:5" x14ac:dyDescent="0.35">
      <c r="B6873" s="1"/>
      <c r="E6873" s="2"/>
    </row>
    <row r="6874" spans="2:5" x14ac:dyDescent="0.35">
      <c r="B6874" s="1"/>
      <c r="E6874" s="2"/>
    </row>
    <row r="6875" spans="2:5" x14ac:dyDescent="0.35">
      <c r="B6875" s="1"/>
    </row>
    <row r="6876" spans="2:5" x14ac:dyDescent="0.35">
      <c r="B6876" s="1"/>
      <c r="E6876" s="2"/>
    </row>
    <row r="6877" spans="2:5" x14ac:dyDescent="0.35">
      <c r="B6877" s="1"/>
    </row>
    <row r="6878" spans="2:5" x14ac:dyDescent="0.35">
      <c r="B6878" s="1"/>
      <c r="E6878" s="2"/>
    </row>
    <row r="6879" spans="2:5" x14ac:dyDescent="0.35">
      <c r="B6879" s="1"/>
    </row>
    <row r="6880" spans="2:5" x14ac:dyDescent="0.35">
      <c r="B6880" s="1"/>
    </row>
    <row r="6881" spans="2:5" x14ac:dyDescent="0.35">
      <c r="B6881" s="1"/>
      <c r="E6881" s="2"/>
    </row>
    <row r="6882" spans="2:5" x14ac:dyDescent="0.35">
      <c r="B6882" s="1"/>
      <c r="E6882" s="2"/>
    </row>
    <row r="6883" spans="2:5" x14ac:dyDescent="0.35">
      <c r="B6883" s="1"/>
    </row>
    <row r="6884" spans="2:5" x14ac:dyDescent="0.35">
      <c r="B6884" s="1"/>
    </row>
    <row r="6885" spans="2:5" x14ac:dyDescent="0.35">
      <c r="B6885" s="1"/>
      <c r="E6885" s="2"/>
    </row>
    <row r="6886" spans="2:5" x14ac:dyDescent="0.35">
      <c r="B6886" s="1"/>
    </row>
    <row r="6887" spans="2:5" x14ac:dyDescent="0.35">
      <c r="B6887" s="1"/>
      <c r="E6887" s="2"/>
    </row>
    <row r="6888" spans="2:5" x14ac:dyDescent="0.35">
      <c r="B6888" s="1"/>
      <c r="E6888" s="2"/>
    </row>
    <row r="6889" spans="2:5" x14ac:dyDescent="0.35">
      <c r="B6889" s="1"/>
    </row>
    <row r="6890" spans="2:5" x14ac:dyDescent="0.35">
      <c r="B6890" s="1"/>
      <c r="E6890" s="2"/>
    </row>
    <row r="6891" spans="2:5" x14ac:dyDescent="0.35">
      <c r="B6891" s="1"/>
    </row>
    <row r="6892" spans="2:5" x14ac:dyDescent="0.35">
      <c r="B6892" s="1"/>
    </row>
    <row r="6893" spans="2:5" x14ac:dyDescent="0.35">
      <c r="B6893" s="1"/>
      <c r="E6893" s="2"/>
    </row>
    <row r="6894" spans="2:5" x14ac:dyDescent="0.35">
      <c r="B6894" s="1"/>
    </row>
    <row r="6895" spans="2:5" x14ac:dyDescent="0.35">
      <c r="B6895" s="1"/>
    </row>
    <row r="6896" spans="2:5" x14ac:dyDescent="0.35">
      <c r="B6896" s="1"/>
      <c r="E6896" s="2"/>
    </row>
    <row r="6897" spans="2:5" x14ac:dyDescent="0.35">
      <c r="B6897" s="1"/>
      <c r="E6897" s="2"/>
    </row>
    <row r="6898" spans="2:5" x14ac:dyDescent="0.35">
      <c r="B6898" s="1"/>
      <c r="E6898" s="2"/>
    </row>
    <row r="6899" spans="2:5" x14ac:dyDescent="0.35">
      <c r="B6899" s="1"/>
      <c r="E6899" s="2"/>
    </row>
    <row r="6900" spans="2:5" x14ac:dyDescent="0.35">
      <c r="B6900" s="1"/>
    </row>
    <row r="6901" spans="2:5" x14ac:dyDescent="0.35">
      <c r="B6901" s="1"/>
      <c r="E6901" s="2"/>
    </row>
    <row r="6902" spans="2:5" x14ac:dyDescent="0.35">
      <c r="B6902" s="1"/>
    </row>
    <row r="6903" spans="2:5" x14ac:dyDescent="0.35">
      <c r="B6903" s="1"/>
      <c r="E6903" s="2"/>
    </row>
    <row r="6904" spans="2:5" x14ac:dyDescent="0.35">
      <c r="B6904" s="1"/>
      <c r="E6904" s="2"/>
    </row>
    <row r="6905" spans="2:5" x14ac:dyDescent="0.35">
      <c r="B6905" s="1"/>
    </row>
    <row r="6906" spans="2:5" x14ac:dyDescent="0.35">
      <c r="B6906" s="1"/>
      <c r="E6906" s="2"/>
    </row>
    <row r="6907" spans="2:5" x14ac:dyDescent="0.35">
      <c r="B6907" s="1"/>
    </row>
    <row r="6908" spans="2:5" x14ac:dyDescent="0.35">
      <c r="B6908" s="1"/>
      <c r="E6908" s="2"/>
    </row>
    <row r="6909" spans="2:5" x14ac:dyDescent="0.35">
      <c r="B6909" s="1"/>
      <c r="E6909" s="2"/>
    </row>
    <row r="6910" spans="2:5" x14ac:dyDescent="0.35">
      <c r="B6910" s="1"/>
    </row>
    <row r="6911" spans="2:5" x14ac:dyDescent="0.35">
      <c r="B6911" s="1"/>
      <c r="E6911" s="2"/>
    </row>
    <row r="6912" spans="2:5" x14ac:dyDescent="0.35">
      <c r="B6912" s="1"/>
      <c r="E6912" s="2"/>
    </row>
    <row r="6913" spans="2:5" x14ac:dyDescent="0.35">
      <c r="B6913" s="1"/>
    </row>
    <row r="6914" spans="2:5" x14ac:dyDescent="0.35">
      <c r="B6914" s="1"/>
    </row>
    <row r="6915" spans="2:5" x14ac:dyDescent="0.35">
      <c r="B6915" s="1"/>
      <c r="E6915" s="2"/>
    </row>
    <row r="6916" spans="2:5" x14ac:dyDescent="0.35">
      <c r="B6916" s="1"/>
      <c r="E6916" s="2"/>
    </row>
    <row r="6917" spans="2:5" x14ac:dyDescent="0.35">
      <c r="B6917" s="1"/>
      <c r="E6917" s="2"/>
    </row>
    <row r="6918" spans="2:5" x14ac:dyDescent="0.35">
      <c r="B6918" s="1"/>
      <c r="E6918" s="2"/>
    </row>
    <row r="6919" spans="2:5" x14ac:dyDescent="0.35">
      <c r="B6919" s="1"/>
    </row>
    <row r="6920" spans="2:5" x14ac:dyDescent="0.35">
      <c r="B6920" s="1"/>
      <c r="E6920" s="2"/>
    </row>
    <row r="6921" spans="2:5" x14ac:dyDescent="0.35">
      <c r="B6921" s="1"/>
      <c r="E6921" s="2"/>
    </row>
    <row r="6922" spans="2:5" x14ac:dyDescent="0.35">
      <c r="B6922" s="1"/>
    </row>
    <row r="6923" spans="2:5" x14ac:dyDescent="0.35">
      <c r="B6923" s="1"/>
    </row>
    <row r="6924" spans="2:5" x14ac:dyDescent="0.35">
      <c r="B6924" s="1"/>
    </row>
    <row r="6925" spans="2:5" x14ac:dyDescent="0.35">
      <c r="B6925" s="1"/>
      <c r="E6925" s="2"/>
    </row>
    <row r="6926" spans="2:5" x14ac:dyDescent="0.35">
      <c r="B6926" s="1"/>
      <c r="E6926" s="2"/>
    </row>
    <row r="6927" spans="2:5" x14ac:dyDescent="0.35">
      <c r="B6927" s="1"/>
    </row>
    <row r="6928" spans="2:5" x14ac:dyDescent="0.35">
      <c r="B6928" s="1"/>
      <c r="E6928" s="2"/>
    </row>
    <row r="6929" spans="2:5" x14ac:dyDescent="0.35">
      <c r="B6929" s="1"/>
      <c r="E6929" s="2"/>
    </row>
    <row r="6930" spans="2:5" x14ac:dyDescent="0.35">
      <c r="B6930" s="1"/>
    </row>
    <row r="6931" spans="2:5" x14ac:dyDescent="0.35">
      <c r="B6931" s="1"/>
      <c r="E6931" s="2"/>
    </row>
    <row r="6932" spans="2:5" x14ac:dyDescent="0.35">
      <c r="B6932" s="1"/>
      <c r="E6932" s="2"/>
    </row>
    <row r="6933" spans="2:5" x14ac:dyDescent="0.35">
      <c r="B6933" s="1"/>
      <c r="E6933" s="2"/>
    </row>
    <row r="6934" spans="2:5" x14ac:dyDescent="0.35">
      <c r="B6934" s="1"/>
    </row>
    <row r="6935" spans="2:5" x14ac:dyDescent="0.35">
      <c r="B6935" s="1"/>
    </row>
    <row r="6936" spans="2:5" x14ac:dyDescent="0.35">
      <c r="B6936" s="1"/>
      <c r="E6936" s="2"/>
    </row>
    <row r="6937" spans="2:5" x14ac:dyDescent="0.35">
      <c r="B6937" s="1"/>
      <c r="E6937" s="2"/>
    </row>
    <row r="6938" spans="2:5" x14ac:dyDescent="0.35">
      <c r="B6938" s="1"/>
      <c r="E6938" s="2"/>
    </row>
    <row r="6939" spans="2:5" x14ac:dyDescent="0.35">
      <c r="B6939" s="1"/>
      <c r="E6939" s="2"/>
    </row>
    <row r="6940" spans="2:5" x14ac:dyDescent="0.35">
      <c r="B6940" s="1"/>
      <c r="E6940" s="2"/>
    </row>
    <row r="6941" spans="2:5" x14ac:dyDescent="0.35">
      <c r="B6941" s="1"/>
      <c r="E6941" s="2"/>
    </row>
    <row r="6942" spans="2:5" x14ac:dyDescent="0.35">
      <c r="B6942" s="1"/>
    </row>
    <row r="6943" spans="2:5" x14ac:dyDescent="0.35">
      <c r="B6943" s="1"/>
    </row>
    <row r="6944" spans="2:5" x14ac:dyDescent="0.35">
      <c r="B6944" s="1"/>
    </row>
    <row r="6945" spans="2:5" x14ac:dyDescent="0.35">
      <c r="B6945" s="1"/>
      <c r="E6945" s="2"/>
    </row>
    <row r="6946" spans="2:5" x14ac:dyDescent="0.35">
      <c r="B6946" s="1"/>
    </row>
    <row r="6947" spans="2:5" x14ac:dyDescent="0.35">
      <c r="B6947" s="1"/>
      <c r="E6947" s="2"/>
    </row>
    <row r="6948" spans="2:5" x14ac:dyDescent="0.35">
      <c r="B6948" s="1"/>
      <c r="E6948" s="2"/>
    </row>
    <row r="6949" spans="2:5" x14ac:dyDescent="0.35">
      <c r="B6949" s="1"/>
      <c r="E6949" s="2"/>
    </row>
    <row r="6950" spans="2:5" x14ac:dyDescent="0.35">
      <c r="B6950" s="1"/>
      <c r="E6950" s="2"/>
    </row>
    <row r="6951" spans="2:5" x14ac:dyDescent="0.35">
      <c r="B6951" s="1"/>
      <c r="E6951" s="2"/>
    </row>
    <row r="6952" spans="2:5" x14ac:dyDescent="0.35">
      <c r="B6952" s="1"/>
      <c r="E6952" s="2"/>
    </row>
    <row r="6953" spans="2:5" x14ac:dyDescent="0.35">
      <c r="B6953" s="1"/>
    </row>
    <row r="6954" spans="2:5" x14ac:dyDescent="0.35">
      <c r="B6954" s="1"/>
      <c r="E6954" s="2"/>
    </row>
    <row r="6955" spans="2:5" x14ac:dyDescent="0.35">
      <c r="B6955" s="1"/>
    </row>
    <row r="6956" spans="2:5" x14ac:dyDescent="0.35">
      <c r="B6956" s="1"/>
      <c r="E6956" s="2"/>
    </row>
    <row r="6957" spans="2:5" x14ac:dyDescent="0.35">
      <c r="B6957" s="1"/>
    </row>
    <row r="6958" spans="2:5" x14ac:dyDescent="0.35">
      <c r="B6958" s="1"/>
    </row>
    <row r="6959" spans="2:5" x14ac:dyDescent="0.35">
      <c r="B6959" s="1"/>
    </row>
    <row r="6960" spans="2:5" x14ac:dyDescent="0.35">
      <c r="B6960" s="1"/>
    </row>
    <row r="6961" spans="2:5" x14ac:dyDescent="0.35">
      <c r="B6961" s="1"/>
      <c r="E6961" s="2"/>
    </row>
    <row r="6962" spans="2:5" x14ac:dyDescent="0.35">
      <c r="B6962" s="1"/>
      <c r="E6962" s="2"/>
    </row>
    <row r="6963" spans="2:5" x14ac:dyDescent="0.35">
      <c r="B6963" s="1"/>
      <c r="E6963" s="2"/>
    </row>
    <row r="6964" spans="2:5" x14ac:dyDescent="0.35">
      <c r="B6964" s="1"/>
    </row>
    <row r="6965" spans="2:5" x14ac:dyDescent="0.35">
      <c r="B6965" s="1"/>
    </row>
    <row r="6966" spans="2:5" x14ac:dyDescent="0.35">
      <c r="B6966" s="1"/>
    </row>
    <row r="6967" spans="2:5" x14ac:dyDescent="0.35">
      <c r="B6967" s="1"/>
      <c r="E6967" s="2"/>
    </row>
    <row r="6968" spans="2:5" x14ac:dyDescent="0.35">
      <c r="B6968" s="1"/>
    </row>
    <row r="6969" spans="2:5" x14ac:dyDescent="0.35">
      <c r="B6969" s="1"/>
      <c r="E6969" s="2"/>
    </row>
    <row r="6970" spans="2:5" x14ac:dyDescent="0.35">
      <c r="B6970" s="1"/>
    </row>
    <row r="6971" spans="2:5" x14ac:dyDescent="0.35">
      <c r="B6971" s="1"/>
      <c r="E6971" s="2"/>
    </row>
    <row r="6972" spans="2:5" x14ac:dyDescent="0.35">
      <c r="B6972" s="1"/>
    </row>
    <row r="6973" spans="2:5" x14ac:dyDescent="0.35">
      <c r="B6973" s="1"/>
    </row>
    <row r="6974" spans="2:5" x14ac:dyDescent="0.35">
      <c r="B6974" s="1"/>
      <c r="E6974" s="2"/>
    </row>
    <row r="6975" spans="2:5" x14ac:dyDescent="0.35">
      <c r="B6975" s="1"/>
      <c r="E6975" s="2"/>
    </row>
    <row r="6976" spans="2:5" x14ac:dyDescent="0.35">
      <c r="B6976" s="1"/>
    </row>
    <row r="6977" spans="2:5" x14ac:dyDescent="0.35">
      <c r="B6977" s="1"/>
      <c r="E6977" s="2"/>
    </row>
    <row r="6978" spans="2:5" x14ac:dyDescent="0.35">
      <c r="B6978" s="1"/>
      <c r="E6978" s="2"/>
    </row>
    <row r="6979" spans="2:5" x14ac:dyDescent="0.35">
      <c r="B6979" s="1"/>
    </row>
    <row r="6980" spans="2:5" x14ac:dyDescent="0.35">
      <c r="B6980" s="1"/>
      <c r="E6980" s="2"/>
    </row>
    <row r="6981" spans="2:5" x14ac:dyDescent="0.35">
      <c r="B6981" s="1"/>
    </row>
    <row r="6982" spans="2:5" x14ac:dyDescent="0.35">
      <c r="B6982" s="1"/>
    </row>
    <row r="6983" spans="2:5" x14ac:dyDescent="0.35">
      <c r="B6983" s="1"/>
    </row>
    <row r="6984" spans="2:5" x14ac:dyDescent="0.35">
      <c r="B6984" s="1"/>
      <c r="E6984" s="2"/>
    </row>
    <row r="6985" spans="2:5" x14ac:dyDescent="0.35">
      <c r="B6985" s="1"/>
    </row>
    <row r="6986" spans="2:5" x14ac:dyDescent="0.35">
      <c r="B6986" s="1"/>
      <c r="E6986" s="2"/>
    </row>
    <row r="6987" spans="2:5" x14ac:dyDescent="0.35">
      <c r="B6987" s="1"/>
    </row>
    <row r="6988" spans="2:5" x14ac:dyDescent="0.35">
      <c r="B6988" s="1"/>
      <c r="E6988" s="2"/>
    </row>
    <row r="6989" spans="2:5" x14ac:dyDescent="0.35">
      <c r="B6989" s="1"/>
    </row>
    <row r="6990" spans="2:5" x14ac:dyDescent="0.35">
      <c r="B6990" s="1"/>
    </row>
    <row r="6991" spans="2:5" x14ac:dyDescent="0.35">
      <c r="B6991" s="1"/>
      <c r="E6991" s="2"/>
    </row>
    <row r="6992" spans="2:5" x14ac:dyDescent="0.35">
      <c r="B6992" s="1"/>
      <c r="E6992" s="2"/>
    </row>
    <row r="6993" spans="2:5" x14ac:dyDescent="0.35">
      <c r="B6993" s="1"/>
      <c r="E6993" s="2"/>
    </row>
    <row r="6994" spans="2:5" x14ac:dyDescent="0.35">
      <c r="B6994" s="1"/>
    </row>
    <row r="6995" spans="2:5" x14ac:dyDescent="0.35">
      <c r="B6995" s="1"/>
    </row>
    <row r="6996" spans="2:5" x14ac:dyDescent="0.35">
      <c r="B6996" s="1"/>
    </row>
    <row r="6997" spans="2:5" x14ac:dyDescent="0.35">
      <c r="B6997" s="1"/>
      <c r="E6997" s="2"/>
    </row>
    <row r="6998" spans="2:5" x14ac:dyDescent="0.35">
      <c r="B6998" s="1"/>
      <c r="E6998" s="2"/>
    </row>
    <row r="6999" spans="2:5" x14ac:dyDescent="0.35">
      <c r="B6999" s="1"/>
      <c r="E6999" s="2"/>
    </row>
    <row r="7000" spans="2:5" x14ac:dyDescent="0.35">
      <c r="B7000" s="1"/>
    </row>
    <row r="7001" spans="2:5" x14ac:dyDescent="0.35">
      <c r="B7001" s="1"/>
      <c r="E7001" s="2"/>
    </row>
    <row r="7002" spans="2:5" x14ac:dyDescent="0.35">
      <c r="B7002" s="1"/>
      <c r="E7002" s="2"/>
    </row>
    <row r="7003" spans="2:5" x14ac:dyDescent="0.35">
      <c r="B7003" s="1"/>
      <c r="E7003" s="2"/>
    </row>
    <row r="7004" spans="2:5" x14ac:dyDescent="0.35">
      <c r="B7004" s="1"/>
    </row>
    <row r="7005" spans="2:5" x14ac:dyDescent="0.35">
      <c r="B7005" s="1"/>
    </row>
    <row r="7006" spans="2:5" x14ac:dyDescent="0.35">
      <c r="B7006" s="1"/>
    </row>
    <row r="7007" spans="2:5" x14ac:dyDescent="0.35">
      <c r="B7007" s="1"/>
      <c r="E7007" s="2"/>
    </row>
    <row r="7008" spans="2:5" x14ac:dyDescent="0.35">
      <c r="B7008" s="1"/>
    </row>
    <row r="7009" spans="2:5" x14ac:dyDescent="0.35">
      <c r="B7009" s="1"/>
    </row>
    <row r="7010" spans="2:5" x14ac:dyDescent="0.35">
      <c r="B7010" s="1"/>
    </row>
    <row r="7011" spans="2:5" x14ac:dyDescent="0.35">
      <c r="B7011" s="1"/>
      <c r="E7011" s="2"/>
    </row>
    <row r="7012" spans="2:5" x14ac:dyDescent="0.35">
      <c r="B7012" s="1"/>
    </row>
    <row r="7013" spans="2:5" x14ac:dyDescent="0.35">
      <c r="B7013" s="1"/>
      <c r="E7013" s="2"/>
    </row>
    <row r="7014" spans="2:5" x14ac:dyDescent="0.35">
      <c r="B7014" s="1"/>
      <c r="E7014" s="2"/>
    </row>
    <row r="7015" spans="2:5" x14ac:dyDescent="0.35">
      <c r="B7015" s="1"/>
      <c r="E7015" s="2"/>
    </row>
    <row r="7016" spans="2:5" x14ac:dyDescent="0.35">
      <c r="B7016" s="1"/>
    </row>
    <row r="7017" spans="2:5" x14ac:dyDescent="0.35">
      <c r="B7017" s="1"/>
      <c r="E7017" s="2"/>
    </row>
    <row r="7018" spans="2:5" x14ac:dyDescent="0.35">
      <c r="B7018" s="1"/>
      <c r="E7018" s="2"/>
    </row>
    <row r="7019" spans="2:5" x14ac:dyDescent="0.35">
      <c r="B7019" s="1"/>
      <c r="E7019" s="2"/>
    </row>
    <row r="7020" spans="2:5" x14ac:dyDescent="0.35">
      <c r="B7020" s="1"/>
    </row>
    <row r="7021" spans="2:5" x14ac:dyDescent="0.35">
      <c r="B7021" s="1"/>
    </row>
    <row r="7022" spans="2:5" x14ac:dyDescent="0.35">
      <c r="B7022" s="1"/>
    </row>
    <row r="7023" spans="2:5" x14ac:dyDescent="0.35">
      <c r="B7023" s="1"/>
      <c r="E7023" s="2"/>
    </row>
    <row r="7024" spans="2:5" x14ac:dyDescent="0.35">
      <c r="B7024" s="1"/>
    </row>
    <row r="7025" spans="2:5" x14ac:dyDescent="0.35">
      <c r="B7025" s="1"/>
      <c r="E7025" s="2"/>
    </row>
    <row r="7026" spans="2:5" x14ac:dyDescent="0.35">
      <c r="B7026" s="1"/>
      <c r="E7026" s="2"/>
    </row>
    <row r="7027" spans="2:5" x14ac:dyDescent="0.35">
      <c r="B7027" s="1"/>
      <c r="E7027" s="2"/>
    </row>
    <row r="7028" spans="2:5" x14ac:dyDescent="0.35">
      <c r="B7028" s="1"/>
    </row>
    <row r="7029" spans="2:5" x14ac:dyDescent="0.35">
      <c r="B7029" s="1"/>
    </row>
    <row r="7030" spans="2:5" x14ac:dyDescent="0.35">
      <c r="B7030" s="1"/>
    </row>
    <row r="7031" spans="2:5" x14ac:dyDescent="0.35">
      <c r="B7031" s="1"/>
      <c r="E7031" s="2"/>
    </row>
    <row r="7032" spans="2:5" x14ac:dyDescent="0.35">
      <c r="B7032" s="1"/>
    </row>
    <row r="7033" spans="2:5" x14ac:dyDescent="0.35">
      <c r="B7033" s="1"/>
      <c r="E7033" s="2"/>
    </row>
    <row r="7034" spans="2:5" x14ac:dyDescent="0.35">
      <c r="B7034" s="1"/>
      <c r="E7034" s="2"/>
    </row>
    <row r="7035" spans="2:5" x14ac:dyDescent="0.35">
      <c r="B7035" s="1"/>
      <c r="E7035" s="2"/>
    </row>
    <row r="7036" spans="2:5" x14ac:dyDescent="0.35">
      <c r="B7036" s="1"/>
      <c r="E7036" s="2"/>
    </row>
    <row r="7037" spans="2:5" x14ac:dyDescent="0.35">
      <c r="B7037" s="1"/>
      <c r="E7037" s="2"/>
    </row>
    <row r="7038" spans="2:5" x14ac:dyDescent="0.35">
      <c r="B7038" s="1"/>
    </row>
    <row r="7039" spans="2:5" x14ac:dyDescent="0.35">
      <c r="B7039" s="1"/>
      <c r="E7039" s="2"/>
    </row>
    <row r="7040" spans="2:5" x14ac:dyDescent="0.35">
      <c r="B7040" s="1"/>
    </row>
    <row r="7041" spans="2:5" x14ac:dyDescent="0.35">
      <c r="B7041" s="1"/>
    </row>
    <row r="7042" spans="2:5" x14ac:dyDescent="0.35">
      <c r="B7042" s="1"/>
    </row>
    <row r="7043" spans="2:5" x14ac:dyDescent="0.35">
      <c r="B7043" s="1"/>
    </row>
    <row r="7044" spans="2:5" x14ac:dyDescent="0.35">
      <c r="B7044" s="1"/>
    </row>
    <row r="7045" spans="2:5" x14ac:dyDescent="0.35">
      <c r="B7045" s="1"/>
      <c r="E7045" s="2"/>
    </row>
    <row r="7046" spans="2:5" x14ac:dyDescent="0.35">
      <c r="B7046" s="1"/>
      <c r="E7046" s="2"/>
    </row>
    <row r="7047" spans="2:5" x14ac:dyDescent="0.35">
      <c r="B7047" s="1"/>
    </row>
    <row r="7048" spans="2:5" x14ac:dyDescent="0.35">
      <c r="B7048" s="1"/>
      <c r="E7048" s="2"/>
    </row>
    <row r="7049" spans="2:5" x14ac:dyDescent="0.35">
      <c r="B7049" s="1"/>
    </row>
    <row r="7050" spans="2:5" x14ac:dyDescent="0.35">
      <c r="B7050" s="1"/>
      <c r="E7050" s="2"/>
    </row>
    <row r="7051" spans="2:5" x14ac:dyDescent="0.35">
      <c r="B7051" s="1"/>
    </row>
    <row r="7052" spans="2:5" x14ac:dyDescent="0.35">
      <c r="B7052" s="1"/>
    </row>
    <row r="7053" spans="2:5" x14ac:dyDescent="0.35">
      <c r="B7053" s="1"/>
    </row>
    <row r="7054" spans="2:5" x14ac:dyDescent="0.35">
      <c r="B7054" s="1"/>
      <c r="E7054" s="2"/>
    </row>
    <row r="7055" spans="2:5" x14ac:dyDescent="0.35">
      <c r="B7055" s="1"/>
      <c r="E7055" s="2"/>
    </row>
    <row r="7056" spans="2:5" x14ac:dyDescent="0.35">
      <c r="B7056" s="1"/>
    </row>
    <row r="7057" spans="2:5" x14ac:dyDescent="0.35">
      <c r="B7057" s="1"/>
      <c r="E7057" s="2"/>
    </row>
    <row r="7058" spans="2:5" x14ac:dyDescent="0.35">
      <c r="B7058" s="1"/>
    </row>
    <row r="7059" spans="2:5" x14ac:dyDescent="0.35">
      <c r="B7059" s="1"/>
      <c r="E7059" s="2"/>
    </row>
    <row r="7060" spans="2:5" x14ac:dyDescent="0.35">
      <c r="B7060" s="1"/>
    </row>
    <row r="7061" spans="2:5" x14ac:dyDescent="0.35">
      <c r="B7061" s="1"/>
    </row>
    <row r="7062" spans="2:5" x14ac:dyDescent="0.35">
      <c r="B7062" s="1"/>
      <c r="E7062" s="2"/>
    </row>
    <row r="7063" spans="2:5" x14ac:dyDescent="0.35">
      <c r="B7063" s="1"/>
      <c r="E7063" s="2"/>
    </row>
    <row r="7064" spans="2:5" x14ac:dyDescent="0.35">
      <c r="B7064" s="1"/>
    </row>
    <row r="7065" spans="2:5" x14ac:dyDescent="0.35">
      <c r="B7065" s="1"/>
    </row>
    <row r="7066" spans="2:5" x14ac:dyDescent="0.35">
      <c r="B7066" s="1"/>
    </row>
    <row r="7067" spans="2:5" x14ac:dyDescent="0.35">
      <c r="B7067" s="1"/>
    </row>
    <row r="7068" spans="2:5" x14ac:dyDescent="0.35">
      <c r="B7068" s="1"/>
      <c r="E7068" s="2"/>
    </row>
    <row r="7069" spans="2:5" x14ac:dyDescent="0.35">
      <c r="B7069" s="1"/>
      <c r="E7069" s="2"/>
    </row>
    <row r="7070" spans="2:5" x14ac:dyDescent="0.35">
      <c r="B7070" s="1"/>
    </row>
    <row r="7071" spans="2:5" x14ac:dyDescent="0.35">
      <c r="B7071" s="1"/>
    </row>
    <row r="7072" spans="2:5" x14ac:dyDescent="0.35">
      <c r="B7072" s="1"/>
      <c r="E7072" s="2"/>
    </row>
    <row r="7073" spans="2:5" x14ac:dyDescent="0.35">
      <c r="B7073" s="1"/>
    </row>
    <row r="7074" spans="2:5" x14ac:dyDescent="0.35">
      <c r="B7074" s="1"/>
    </row>
    <row r="7075" spans="2:5" x14ac:dyDescent="0.35">
      <c r="B7075" s="1"/>
      <c r="E7075" s="2"/>
    </row>
    <row r="7076" spans="2:5" x14ac:dyDescent="0.35">
      <c r="B7076" s="1"/>
      <c r="E7076" s="2"/>
    </row>
    <row r="7077" spans="2:5" x14ac:dyDescent="0.35">
      <c r="B7077" s="1"/>
      <c r="E7077" s="2"/>
    </row>
    <row r="7078" spans="2:5" x14ac:dyDescent="0.35">
      <c r="B7078" s="1"/>
      <c r="E7078" s="2"/>
    </row>
    <row r="7079" spans="2:5" x14ac:dyDescent="0.35">
      <c r="B7079" s="1"/>
    </row>
    <row r="7080" spans="2:5" x14ac:dyDescent="0.35">
      <c r="B7080" s="1"/>
      <c r="E7080" s="2"/>
    </row>
    <row r="7081" spans="2:5" x14ac:dyDescent="0.35">
      <c r="B7081" s="1"/>
      <c r="E7081" s="2"/>
    </row>
    <row r="7082" spans="2:5" x14ac:dyDescent="0.35">
      <c r="B7082" s="1"/>
      <c r="E7082" s="2"/>
    </row>
    <row r="7083" spans="2:5" x14ac:dyDescent="0.35">
      <c r="B7083" s="1"/>
      <c r="E7083" s="2"/>
    </row>
    <row r="7084" spans="2:5" x14ac:dyDescent="0.35">
      <c r="B7084" s="1"/>
      <c r="E7084" s="2"/>
    </row>
    <row r="7085" spans="2:5" x14ac:dyDescent="0.35">
      <c r="B7085" s="1"/>
      <c r="E7085" s="2"/>
    </row>
    <row r="7086" spans="2:5" x14ac:dyDescent="0.35">
      <c r="B7086" s="1"/>
    </row>
    <row r="7087" spans="2:5" x14ac:dyDescent="0.35">
      <c r="B7087" s="1"/>
      <c r="E7087" s="2"/>
    </row>
    <row r="7088" spans="2:5" x14ac:dyDescent="0.35">
      <c r="B7088" s="1"/>
    </row>
    <row r="7089" spans="2:5" x14ac:dyDescent="0.35">
      <c r="B7089" s="1"/>
      <c r="E7089" s="2"/>
    </row>
    <row r="7090" spans="2:5" x14ac:dyDescent="0.35">
      <c r="B7090" s="1"/>
    </row>
    <row r="7091" spans="2:5" x14ac:dyDescent="0.35">
      <c r="B7091" s="1"/>
      <c r="E7091" s="2"/>
    </row>
    <row r="7092" spans="2:5" x14ac:dyDescent="0.35">
      <c r="B7092" s="1"/>
      <c r="E7092" s="2"/>
    </row>
    <row r="7093" spans="2:5" x14ac:dyDescent="0.35">
      <c r="B7093" s="1"/>
    </row>
    <row r="7094" spans="2:5" x14ac:dyDescent="0.35">
      <c r="B7094" s="1"/>
    </row>
    <row r="7095" spans="2:5" x14ac:dyDescent="0.35">
      <c r="B7095" s="1"/>
      <c r="E7095" s="2"/>
    </row>
    <row r="7096" spans="2:5" x14ac:dyDescent="0.35">
      <c r="B7096" s="1"/>
      <c r="E7096" s="2"/>
    </row>
    <row r="7097" spans="2:5" x14ac:dyDescent="0.35">
      <c r="B7097" s="1"/>
    </row>
    <row r="7098" spans="2:5" x14ac:dyDescent="0.35">
      <c r="B7098" s="1"/>
    </row>
    <row r="7099" spans="2:5" x14ac:dyDescent="0.35">
      <c r="B7099" s="1"/>
      <c r="E7099" s="2"/>
    </row>
    <row r="7100" spans="2:5" x14ac:dyDescent="0.35">
      <c r="B7100" s="1"/>
    </row>
    <row r="7101" spans="2:5" x14ac:dyDescent="0.35">
      <c r="B7101" s="1"/>
      <c r="E7101" s="2"/>
    </row>
    <row r="7102" spans="2:5" x14ac:dyDescent="0.35">
      <c r="B7102" s="1"/>
      <c r="E7102" s="2"/>
    </row>
    <row r="7103" spans="2:5" x14ac:dyDescent="0.35">
      <c r="B7103" s="1"/>
      <c r="E7103" s="2"/>
    </row>
    <row r="7104" spans="2:5" x14ac:dyDescent="0.35">
      <c r="B7104" s="1"/>
      <c r="E7104" s="2"/>
    </row>
    <row r="7105" spans="2:5" x14ac:dyDescent="0.35">
      <c r="B7105" s="1"/>
    </row>
    <row r="7106" spans="2:5" x14ac:dyDescent="0.35">
      <c r="B7106" s="1"/>
      <c r="E7106" s="2"/>
    </row>
    <row r="7107" spans="2:5" x14ac:dyDescent="0.35">
      <c r="B7107" s="1"/>
    </row>
    <row r="7108" spans="2:5" x14ac:dyDescent="0.35">
      <c r="B7108" s="1"/>
    </row>
    <row r="7109" spans="2:5" x14ac:dyDescent="0.35">
      <c r="B7109" s="1"/>
      <c r="E7109" s="2"/>
    </row>
    <row r="7110" spans="2:5" x14ac:dyDescent="0.35">
      <c r="B7110" s="1"/>
    </row>
    <row r="7111" spans="2:5" x14ac:dyDescent="0.35">
      <c r="B7111" s="1"/>
      <c r="E7111" s="2"/>
    </row>
    <row r="7112" spans="2:5" x14ac:dyDescent="0.35">
      <c r="B7112" s="1"/>
    </row>
    <row r="7113" spans="2:5" x14ac:dyDescent="0.35">
      <c r="B7113" s="1"/>
      <c r="E7113" s="2"/>
    </row>
    <row r="7114" spans="2:5" x14ac:dyDescent="0.35">
      <c r="B7114" s="1"/>
      <c r="E7114" s="2"/>
    </row>
    <row r="7115" spans="2:5" x14ac:dyDescent="0.35">
      <c r="B7115" s="1"/>
    </row>
    <row r="7116" spans="2:5" x14ac:dyDescent="0.35">
      <c r="B7116" s="1"/>
      <c r="E7116" s="2"/>
    </row>
    <row r="7117" spans="2:5" x14ac:dyDescent="0.35">
      <c r="B7117" s="1"/>
    </row>
    <row r="7118" spans="2:5" x14ac:dyDescent="0.35">
      <c r="B7118" s="1"/>
    </row>
    <row r="7119" spans="2:5" x14ac:dyDescent="0.35">
      <c r="B7119" s="1"/>
      <c r="E7119" s="2"/>
    </row>
    <row r="7120" spans="2:5" x14ac:dyDescent="0.35">
      <c r="B7120" s="1"/>
      <c r="E7120" s="2"/>
    </row>
    <row r="7121" spans="2:5" x14ac:dyDescent="0.35">
      <c r="B7121" s="1"/>
      <c r="E7121" s="2"/>
    </row>
    <row r="7122" spans="2:5" x14ac:dyDescent="0.35">
      <c r="B7122" s="1"/>
      <c r="E7122" s="2"/>
    </row>
    <row r="7123" spans="2:5" x14ac:dyDescent="0.35">
      <c r="B7123" s="1"/>
      <c r="E7123" s="2"/>
    </row>
    <row r="7124" spans="2:5" x14ac:dyDescent="0.35">
      <c r="B7124" s="1"/>
      <c r="E7124" s="2"/>
    </row>
    <row r="7125" spans="2:5" x14ac:dyDescent="0.35">
      <c r="B7125" s="1"/>
    </row>
    <row r="7126" spans="2:5" x14ac:dyDescent="0.35">
      <c r="B7126" s="1"/>
      <c r="E7126" s="2"/>
    </row>
    <row r="7127" spans="2:5" x14ac:dyDescent="0.35">
      <c r="B7127" s="1"/>
      <c r="E7127" s="2"/>
    </row>
    <row r="7128" spans="2:5" x14ac:dyDescent="0.35">
      <c r="B7128" s="1"/>
      <c r="E7128" s="2"/>
    </row>
    <row r="7129" spans="2:5" x14ac:dyDescent="0.35">
      <c r="B7129" s="1"/>
    </row>
    <row r="7130" spans="2:5" x14ac:dyDescent="0.35">
      <c r="B7130" s="1"/>
    </row>
    <row r="7131" spans="2:5" x14ac:dyDescent="0.35">
      <c r="B7131" s="1"/>
    </row>
    <row r="7132" spans="2:5" x14ac:dyDescent="0.35">
      <c r="B7132" s="1"/>
    </row>
    <row r="7133" spans="2:5" x14ac:dyDescent="0.35">
      <c r="B7133" s="1"/>
      <c r="E7133" s="2"/>
    </row>
    <row r="7134" spans="2:5" x14ac:dyDescent="0.35">
      <c r="B7134" s="1"/>
    </row>
    <row r="7135" spans="2:5" x14ac:dyDescent="0.35">
      <c r="B7135" s="1"/>
    </row>
    <row r="7136" spans="2:5" x14ac:dyDescent="0.35">
      <c r="B7136" s="1"/>
      <c r="E7136" s="2"/>
    </row>
    <row r="7137" spans="2:5" x14ac:dyDescent="0.35">
      <c r="B7137" s="1"/>
    </row>
    <row r="7138" spans="2:5" x14ac:dyDescent="0.35">
      <c r="B7138" s="1"/>
      <c r="E7138" s="2"/>
    </row>
    <row r="7139" spans="2:5" x14ac:dyDescent="0.35">
      <c r="B7139" s="1"/>
      <c r="E7139" s="2"/>
    </row>
    <row r="7140" spans="2:5" x14ac:dyDescent="0.35">
      <c r="B7140" s="1"/>
    </row>
    <row r="7141" spans="2:5" x14ac:dyDescent="0.35">
      <c r="B7141" s="1"/>
    </row>
    <row r="7142" spans="2:5" x14ac:dyDescent="0.35">
      <c r="B7142" s="1"/>
      <c r="E7142" s="2"/>
    </row>
    <row r="7143" spans="2:5" x14ac:dyDescent="0.35">
      <c r="B7143" s="1"/>
      <c r="E7143" s="2"/>
    </row>
    <row r="7144" spans="2:5" x14ac:dyDescent="0.35">
      <c r="B7144" s="1"/>
    </row>
    <row r="7145" spans="2:5" x14ac:dyDescent="0.35">
      <c r="B7145" s="1"/>
    </row>
    <row r="7146" spans="2:5" x14ac:dyDescent="0.35">
      <c r="B7146" s="1"/>
    </row>
    <row r="7147" spans="2:5" x14ac:dyDescent="0.35">
      <c r="B7147" s="1"/>
      <c r="E7147" s="2"/>
    </row>
    <row r="7148" spans="2:5" x14ac:dyDescent="0.35">
      <c r="B7148" s="1"/>
      <c r="E7148" s="2"/>
    </row>
    <row r="7149" spans="2:5" x14ac:dyDescent="0.35">
      <c r="B7149" s="1"/>
      <c r="E7149" s="2"/>
    </row>
    <row r="7150" spans="2:5" x14ac:dyDescent="0.35">
      <c r="B7150" s="1"/>
      <c r="E7150" s="2"/>
    </row>
    <row r="7151" spans="2:5" x14ac:dyDescent="0.35">
      <c r="B7151" s="1"/>
      <c r="E7151" s="2"/>
    </row>
    <row r="7152" spans="2:5" x14ac:dyDescent="0.35">
      <c r="B7152" s="1"/>
      <c r="E7152" s="2"/>
    </row>
    <row r="7153" spans="2:5" x14ac:dyDescent="0.35">
      <c r="B7153" s="1"/>
      <c r="E7153" s="2"/>
    </row>
    <row r="7154" spans="2:5" x14ac:dyDescent="0.35">
      <c r="B7154" s="1"/>
    </row>
    <row r="7155" spans="2:5" x14ac:dyDescent="0.35">
      <c r="B7155" s="1"/>
    </row>
    <row r="7156" spans="2:5" x14ac:dyDescent="0.35">
      <c r="B7156" s="1"/>
    </row>
    <row r="7157" spans="2:5" x14ac:dyDescent="0.35">
      <c r="B7157" s="1"/>
      <c r="E7157" s="2"/>
    </row>
    <row r="7158" spans="2:5" x14ac:dyDescent="0.35">
      <c r="B7158" s="1"/>
      <c r="E7158" s="2"/>
    </row>
    <row r="7159" spans="2:5" x14ac:dyDescent="0.35">
      <c r="B7159" s="1"/>
    </row>
    <row r="7160" spans="2:5" x14ac:dyDescent="0.35">
      <c r="B7160" s="1"/>
      <c r="E7160" s="2"/>
    </row>
    <row r="7161" spans="2:5" x14ac:dyDescent="0.35">
      <c r="B7161" s="1"/>
      <c r="E7161" s="2"/>
    </row>
    <row r="7162" spans="2:5" x14ac:dyDescent="0.35">
      <c r="B7162" s="1"/>
    </row>
    <row r="7163" spans="2:5" x14ac:dyDescent="0.35">
      <c r="B7163" s="1"/>
      <c r="E7163" s="2"/>
    </row>
    <row r="7164" spans="2:5" x14ac:dyDescent="0.35">
      <c r="B7164" s="1"/>
    </row>
    <row r="7165" spans="2:5" x14ac:dyDescent="0.35">
      <c r="B7165" s="1"/>
      <c r="E7165" s="2"/>
    </row>
    <row r="7166" spans="2:5" x14ac:dyDescent="0.35">
      <c r="B7166" s="1"/>
      <c r="E7166" s="2"/>
    </row>
    <row r="7167" spans="2:5" x14ac:dyDescent="0.35">
      <c r="B7167" s="1"/>
      <c r="E7167" s="2"/>
    </row>
    <row r="7168" spans="2:5" x14ac:dyDescent="0.35">
      <c r="B7168" s="1"/>
    </row>
    <row r="7169" spans="2:5" x14ac:dyDescent="0.35">
      <c r="B7169" s="1"/>
      <c r="E7169" s="2"/>
    </row>
    <row r="7170" spans="2:5" x14ac:dyDescent="0.35">
      <c r="B7170" s="1"/>
    </row>
    <row r="7171" spans="2:5" x14ac:dyDescent="0.35">
      <c r="B7171" s="1"/>
      <c r="E7171" s="2"/>
    </row>
    <row r="7172" spans="2:5" x14ac:dyDescent="0.35">
      <c r="B7172" s="1"/>
    </row>
    <row r="7173" spans="2:5" x14ac:dyDescent="0.35">
      <c r="B7173" s="1"/>
      <c r="E7173" s="2"/>
    </row>
    <row r="7174" spans="2:5" x14ac:dyDescent="0.35">
      <c r="B7174" s="1"/>
    </row>
    <row r="7175" spans="2:5" x14ac:dyDescent="0.35">
      <c r="B7175" s="1"/>
      <c r="E7175" s="2"/>
    </row>
    <row r="7176" spans="2:5" x14ac:dyDescent="0.35">
      <c r="B7176" s="1"/>
    </row>
    <row r="7177" spans="2:5" x14ac:dyDescent="0.35">
      <c r="B7177" s="1"/>
    </row>
    <row r="7178" spans="2:5" x14ac:dyDescent="0.35">
      <c r="B7178" s="1"/>
      <c r="E7178" s="2"/>
    </row>
    <row r="7179" spans="2:5" x14ac:dyDescent="0.35">
      <c r="B7179" s="1"/>
      <c r="E7179" s="2"/>
    </row>
    <row r="7180" spans="2:5" x14ac:dyDescent="0.35">
      <c r="B7180" s="1"/>
      <c r="E7180" s="2"/>
    </row>
    <row r="7181" spans="2:5" x14ac:dyDescent="0.35">
      <c r="B7181" s="1"/>
    </row>
    <row r="7182" spans="2:5" x14ac:dyDescent="0.35">
      <c r="B7182" s="1"/>
      <c r="E7182" s="2"/>
    </row>
    <row r="7183" spans="2:5" x14ac:dyDescent="0.35">
      <c r="B7183" s="1"/>
    </row>
    <row r="7184" spans="2:5" x14ac:dyDescent="0.35">
      <c r="B7184" s="1"/>
      <c r="E7184" s="2"/>
    </row>
    <row r="7185" spans="2:5" x14ac:dyDescent="0.35">
      <c r="B7185" s="1"/>
      <c r="E7185" s="2"/>
    </row>
    <row r="7186" spans="2:5" x14ac:dyDescent="0.35">
      <c r="B7186" s="1"/>
    </row>
    <row r="7187" spans="2:5" x14ac:dyDescent="0.35">
      <c r="B7187" s="1"/>
      <c r="E7187" s="2"/>
    </row>
    <row r="7188" spans="2:5" x14ac:dyDescent="0.35">
      <c r="B7188" s="1"/>
      <c r="E7188" s="2"/>
    </row>
    <row r="7189" spans="2:5" x14ac:dyDescent="0.35">
      <c r="B7189" s="1"/>
      <c r="E7189" s="2"/>
    </row>
    <row r="7190" spans="2:5" x14ac:dyDescent="0.35">
      <c r="B7190" s="1"/>
      <c r="E7190" s="2"/>
    </row>
    <row r="7191" spans="2:5" x14ac:dyDescent="0.35">
      <c r="B7191" s="1"/>
    </row>
    <row r="7192" spans="2:5" x14ac:dyDescent="0.35">
      <c r="B7192" s="1"/>
      <c r="E7192" s="2"/>
    </row>
    <row r="7193" spans="2:5" x14ac:dyDescent="0.35">
      <c r="B7193" s="1"/>
      <c r="E7193" s="2"/>
    </row>
    <row r="7194" spans="2:5" x14ac:dyDescent="0.35">
      <c r="B7194" s="1"/>
      <c r="E7194" s="2"/>
    </row>
    <row r="7195" spans="2:5" x14ac:dyDescent="0.35">
      <c r="B7195" s="1"/>
    </row>
    <row r="7196" spans="2:5" x14ac:dyDescent="0.35">
      <c r="B7196" s="1"/>
      <c r="E7196" s="2"/>
    </row>
    <row r="7197" spans="2:5" x14ac:dyDescent="0.35">
      <c r="B7197" s="1"/>
    </row>
    <row r="7198" spans="2:5" x14ac:dyDescent="0.35">
      <c r="B7198" s="1"/>
      <c r="E7198" s="2"/>
    </row>
    <row r="7199" spans="2:5" x14ac:dyDescent="0.35">
      <c r="B7199" s="1"/>
    </row>
    <row r="7200" spans="2:5" x14ac:dyDescent="0.35">
      <c r="B7200" s="1"/>
      <c r="E7200" s="2"/>
    </row>
    <row r="7201" spans="2:5" x14ac:dyDescent="0.35">
      <c r="B7201" s="1"/>
    </row>
    <row r="7202" spans="2:5" x14ac:dyDescent="0.35">
      <c r="B7202" s="1"/>
    </row>
    <row r="7203" spans="2:5" x14ac:dyDescent="0.35">
      <c r="B7203" s="1"/>
      <c r="E7203" s="2"/>
    </row>
    <row r="7204" spans="2:5" x14ac:dyDescent="0.35">
      <c r="B7204" s="1"/>
    </row>
    <row r="7205" spans="2:5" x14ac:dyDescent="0.35">
      <c r="B7205" s="1"/>
      <c r="E7205" s="2"/>
    </row>
    <row r="7206" spans="2:5" x14ac:dyDescent="0.35">
      <c r="B7206" s="1"/>
      <c r="E7206" s="2"/>
    </row>
    <row r="7207" spans="2:5" x14ac:dyDescent="0.35">
      <c r="B7207" s="1"/>
      <c r="E7207" s="2"/>
    </row>
    <row r="7208" spans="2:5" x14ac:dyDescent="0.35">
      <c r="B7208" s="1"/>
    </row>
    <row r="7209" spans="2:5" x14ac:dyDescent="0.35">
      <c r="B7209" s="1"/>
      <c r="E7209" s="2"/>
    </row>
    <row r="7210" spans="2:5" x14ac:dyDescent="0.35">
      <c r="B7210" s="1"/>
    </row>
    <row r="7211" spans="2:5" x14ac:dyDescent="0.35">
      <c r="B7211" s="1"/>
    </row>
    <row r="7212" spans="2:5" x14ac:dyDescent="0.35">
      <c r="B7212" s="1"/>
    </row>
    <row r="7213" spans="2:5" x14ac:dyDescent="0.35">
      <c r="B7213" s="1"/>
    </row>
    <row r="7214" spans="2:5" x14ac:dyDescent="0.35">
      <c r="B7214" s="1"/>
      <c r="E7214" s="2"/>
    </row>
    <row r="7215" spans="2:5" x14ac:dyDescent="0.35">
      <c r="B7215" s="1"/>
      <c r="E7215" s="2"/>
    </row>
    <row r="7216" spans="2:5" x14ac:dyDescent="0.35">
      <c r="B7216" s="1"/>
    </row>
    <row r="7217" spans="2:5" x14ac:dyDescent="0.35">
      <c r="B7217" s="1"/>
      <c r="E7217" s="2"/>
    </row>
    <row r="7218" spans="2:5" x14ac:dyDescent="0.35">
      <c r="B7218" s="1"/>
    </row>
    <row r="7219" spans="2:5" x14ac:dyDescent="0.35">
      <c r="B7219" s="1"/>
      <c r="E7219" s="2"/>
    </row>
    <row r="7220" spans="2:5" x14ac:dyDescent="0.35">
      <c r="B7220" s="1"/>
      <c r="E7220" s="2"/>
    </row>
    <row r="7221" spans="2:5" x14ac:dyDescent="0.35">
      <c r="B7221" s="1"/>
      <c r="E7221" s="2"/>
    </row>
    <row r="7222" spans="2:5" x14ac:dyDescent="0.35">
      <c r="B7222" s="1"/>
      <c r="E7222" s="2"/>
    </row>
    <row r="7223" spans="2:5" x14ac:dyDescent="0.35">
      <c r="B7223" s="1"/>
    </row>
    <row r="7224" spans="2:5" x14ac:dyDescent="0.35">
      <c r="B7224" s="1"/>
    </row>
    <row r="7225" spans="2:5" x14ac:dyDescent="0.35">
      <c r="B7225" s="1"/>
    </row>
    <row r="7226" spans="2:5" x14ac:dyDescent="0.35">
      <c r="B7226" s="1"/>
    </row>
    <row r="7227" spans="2:5" x14ac:dyDescent="0.35">
      <c r="B7227" s="1"/>
      <c r="E7227" s="2"/>
    </row>
    <row r="7228" spans="2:5" x14ac:dyDescent="0.35">
      <c r="B7228" s="1"/>
    </row>
    <row r="7229" spans="2:5" x14ac:dyDescent="0.35">
      <c r="B7229" s="1"/>
      <c r="E7229" s="2"/>
    </row>
    <row r="7230" spans="2:5" x14ac:dyDescent="0.35">
      <c r="B7230" s="1"/>
    </row>
    <row r="7231" spans="2:5" x14ac:dyDescent="0.35">
      <c r="B7231" s="1"/>
      <c r="E7231" s="2"/>
    </row>
    <row r="7232" spans="2:5" x14ac:dyDescent="0.35">
      <c r="B7232" s="1"/>
      <c r="E7232" s="2"/>
    </row>
    <row r="7233" spans="2:5" x14ac:dyDescent="0.35">
      <c r="B7233" s="1"/>
      <c r="E7233" s="2"/>
    </row>
    <row r="7234" spans="2:5" x14ac:dyDescent="0.35">
      <c r="B7234" s="1"/>
    </row>
    <row r="7235" spans="2:5" x14ac:dyDescent="0.35">
      <c r="B7235" s="1"/>
      <c r="E7235" s="2"/>
    </row>
    <row r="7236" spans="2:5" x14ac:dyDescent="0.35">
      <c r="B7236" s="1"/>
    </row>
    <row r="7237" spans="2:5" x14ac:dyDescent="0.35">
      <c r="B7237" s="1"/>
    </row>
    <row r="7238" spans="2:5" x14ac:dyDescent="0.35">
      <c r="B7238" s="1"/>
    </row>
    <row r="7239" spans="2:5" x14ac:dyDescent="0.35">
      <c r="B7239" s="1"/>
      <c r="E7239" s="2"/>
    </row>
    <row r="7240" spans="2:5" x14ac:dyDescent="0.35">
      <c r="B7240" s="1"/>
    </row>
    <row r="7241" spans="2:5" x14ac:dyDescent="0.35">
      <c r="B7241" s="1"/>
    </row>
    <row r="7242" spans="2:5" x14ac:dyDescent="0.35">
      <c r="B7242" s="1"/>
      <c r="E7242" s="2"/>
    </row>
    <row r="7243" spans="2:5" x14ac:dyDescent="0.35">
      <c r="B7243" s="1"/>
      <c r="E7243" s="2"/>
    </row>
    <row r="7244" spans="2:5" x14ac:dyDescent="0.35">
      <c r="B7244" s="1"/>
      <c r="E7244" s="2"/>
    </row>
    <row r="7245" spans="2:5" x14ac:dyDescent="0.35">
      <c r="B7245" s="1"/>
    </row>
    <row r="7246" spans="2:5" x14ac:dyDescent="0.35">
      <c r="B7246" s="1"/>
      <c r="E7246" s="2"/>
    </row>
    <row r="7247" spans="2:5" x14ac:dyDescent="0.35">
      <c r="B7247" s="1"/>
    </row>
    <row r="7248" spans="2:5" x14ac:dyDescent="0.35">
      <c r="B7248" s="1"/>
    </row>
    <row r="7249" spans="2:5" x14ac:dyDescent="0.35">
      <c r="B7249" s="1"/>
    </row>
    <row r="7250" spans="2:5" x14ac:dyDescent="0.35">
      <c r="B7250" s="1"/>
    </row>
    <row r="7251" spans="2:5" x14ac:dyDescent="0.35">
      <c r="B7251" s="1"/>
      <c r="E7251" s="2"/>
    </row>
    <row r="7252" spans="2:5" x14ac:dyDescent="0.35">
      <c r="B7252" s="1"/>
      <c r="E7252" s="2"/>
    </row>
    <row r="7253" spans="2:5" x14ac:dyDescent="0.35">
      <c r="B7253" s="1"/>
      <c r="E7253" s="2"/>
    </row>
    <row r="7254" spans="2:5" x14ac:dyDescent="0.35">
      <c r="B7254" s="1"/>
    </row>
    <row r="7255" spans="2:5" x14ac:dyDescent="0.35">
      <c r="B7255" s="1"/>
      <c r="E7255" s="2"/>
    </row>
    <row r="7256" spans="2:5" x14ac:dyDescent="0.35">
      <c r="B7256" s="1"/>
    </row>
    <row r="7257" spans="2:5" x14ac:dyDescent="0.35">
      <c r="B7257" s="1"/>
    </row>
    <row r="7258" spans="2:5" x14ac:dyDescent="0.35">
      <c r="B7258" s="1"/>
      <c r="E7258" s="2"/>
    </row>
    <row r="7259" spans="2:5" x14ac:dyDescent="0.35">
      <c r="B7259" s="1"/>
      <c r="E7259" s="2"/>
    </row>
    <row r="7260" spans="2:5" x14ac:dyDescent="0.35">
      <c r="B7260" s="1"/>
    </row>
    <row r="7261" spans="2:5" x14ac:dyDescent="0.35">
      <c r="B7261" s="1"/>
      <c r="E7261" s="2"/>
    </row>
    <row r="7262" spans="2:5" x14ac:dyDescent="0.35">
      <c r="B7262" s="1"/>
    </row>
    <row r="7263" spans="2:5" x14ac:dyDescent="0.35">
      <c r="B7263" s="1"/>
      <c r="E7263" s="2"/>
    </row>
    <row r="7264" spans="2:5" x14ac:dyDescent="0.35">
      <c r="B7264" s="1"/>
      <c r="E7264" s="2"/>
    </row>
    <row r="7265" spans="2:5" x14ac:dyDescent="0.35">
      <c r="B7265" s="1"/>
      <c r="E7265" s="2"/>
    </row>
    <row r="7266" spans="2:5" x14ac:dyDescent="0.35">
      <c r="B7266" s="1"/>
    </row>
    <row r="7267" spans="2:5" x14ac:dyDescent="0.35">
      <c r="B7267" s="1"/>
    </row>
    <row r="7268" spans="2:5" x14ac:dyDescent="0.35">
      <c r="B7268" s="1"/>
    </row>
    <row r="7269" spans="2:5" x14ac:dyDescent="0.35">
      <c r="B7269" s="1"/>
    </row>
    <row r="7270" spans="2:5" x14ac:dyDescent="0.35">
      <c r="B7270" s="1"/>
    </row>
    <row r="7271" spans="2:5" x14ac:dyDescent="0.35">
      <c r="B7271" s="1"/>
    </row>
    <row r="7272" spans="2:5" x14ac:dyDescent="0.35">
      <c r="B7272" s="1"/>
      <c r="E7272" s="2"/>
    </row>
    <row r="7273" spans="2:5" x14ac:dyDescent="0.35">
      <c r="B7273" s="1"/>
    </row>
    <row r="7274" spans="2:5" x14ac:dyDescent="0.35">
      <c r="B7274" s="1"/>
      <c r="E7274" s="2"/>
    </row>
    <row r="7275" spans="2:5" x14ac:dyDescent="0.35">
      <c r="B7275" s="1"/>
    </row>
    <row r="7276" spans="2:5" x14ac:dyDescent="0.35">
      <c r="B7276" s="1"/>
      <c r="E7276" s="2"/>
    </row>
    <row r="7277" spans="2:5" x14ac:dyDescent="0.35">
      <c r="B7277" s="1"/>
    </row>
    <row r="7278" spans="2:5" x14ac:dyDescent="0.35">
      <c r="B7278" s="1"/>
    </row>
    <row r="7279" spans="2:5" x14ac:dyDescent="0.35">
      <c r="B7279" s="1"/>
    </row>
    <row r="7280" spans="2:5" x14ac:dyDescent="0.35">
      <c r="B7280" s="1"/>
    </row>
    <row r="7281" spans="2:5" x14ac:dyDescent="0.35">
      <c r="B7281" s="1"/>
    </row>
    <row r="7282" spans="2:5" x14ac:dyDescent="0.35">
      <c r="B7282" s="1"/>
      <c r="E7282" s="2"/>
    </row>
    <row r="7283" spans="2:5" x14ac:dyDescent="0.35">
      <c r="B7283" s="1"/>
      <c r="E7283" s="2"/>
    </row>
    <row r="7284" spans="2:5" x14ac:dyDescent="0.35">
      <c r="B7284" s="1"/>
    </row>
    <row r="7285" spans="2:5" x14ac:dyDescent="0.35">
      <c r="B7285" s="1"/>
    </row>
    <row r="7286" spans="2:5" x14ac:dyDescent="0.35">
      <c r="B7286" s="1"/>
    </row>
    <row r="7287" spans="2:5" x14ac:dyDescent="0.35">
      <c r="B7287" s="1"/>
      <c r="E7287" s="2"/>
    </row>
    <row r="7288" spans="2:5" x14ac:dyDescent="0.35">
      <c r="B7288" s="1"/>
    </row>
    <row r="7289" spans="2:5" x14ac:dyDescent="0.35">
      <c r="B7289" s="1"/>
    </row>
    <row r="7290" spans="2:5" x14ac:dyDescent="0.35">
      <c r="B7290" s="1"/>
      <c r="E7290" s="2"/>
    </row>
    <row r="7291" spans="2:5" x14ac:dyDescent="0.35">
      <c r="B7291" s="1"/>
    </row>
    <row r="7292" spans="2:5" x14ac:dyDescent="0.35">
      <c r="B7292" s="1"/>
      <c r="E7292" s="2"/>
    </row>
    <row r="7293" spans="2:5" x14ac:dyDescent="0.35">
      <c r="B7293" s="1"/>
    </row>
    <row r="7294" spans="2:5" x14ac:dyDescent="0.35">
      <c r="B7294" s="1"/>
      <c r="E7294" s="2"/>
    </row>
    <row r="7295" spans="2:5" x14ac:dyDescent="0.35">
      <c r="B7295" s="1"/>
      <c r="E7295" s="2"/>
    </row>
    <row r="7296" spans="2:5" x14ac:dyDescent="0.35">
      <c r="B7296" s="1"/>
      <c r="E7296" s="2"/>
    </row>
    <row r="7297" spans="2:5" x14ac:dyDescent="0.35">
      <c r="B7297" s="1"/>
    </row>
    <row r="7298" spans="2:5" x14ac:dyDescent="0.35">
      <c r="B7298" s="1"/>
    </row>
    <row r="7299" spans="2:5" x14ac:dyDescent="0.35">
      <c r="B7299" s="1"/>
      <c r="E7299" s="2"/>
    </row>
    <row r="7300" spans="2:5" x14ac:dyDescent="0.35">
      <c r="B7300" s="1"/>
    </row>
    <row r="7301" spans="2:5" x14ac:dyDescent="0.35">
      <c r="B7301" s="1"/>
      <c r="E7301" s="2"/>
    </row>
    <row r="7302" spans="2:5" x14ac:dyDescent="0.35">
      <c r="B7302" s="1"/>
    </row>
    <row r="7303" spans="2:5" x14ac:dyDescent="0.35">
      <c r="B7303" s="1"/>
      <c r="E7303" s="2"/>
    </row>
    <row r="7304" spans="2:5" x14ac:dyDescent="0.35">
      <c r="B7304" s="1"/>
      <c r="E7304" s="2"/>
    </row>
    <row r="7305" spans="2:5" x14ac:dyDescent="0.35">
      <c r="B7305" s="1"/>
      <c r="E7305" s="2"/>
    </row>
    <row r="7306" spans="2:5" x14ac:dyDescent="0.35">
      <c r="B7306" s="1"/>
      <c r="E7306" s="2"/>
    </row>
    <row r="7307" spans="2:5" x14ac:dyDescent="0.35">
      <c r="B7307" s="1"/>
      <c r="E7307" s="2"/>
    </row>
    <row r="7308" spans="2:5" x14ac:dyDescent="0.35">
      <c r="B7308" s="1"/>
      <c r="E7308" s="2"/>
    </row>
    <row r="7309" spans="2:5" x14ac:dyDescent="0.35">
      <c r="B7309" s="1"/>
    </row>
    <row r="7310" spans="2:5" x14ac:dyDescent="0.35">
      <c r="B7310" s="1"/>
      <c r="E7310" s="2"/>
    </row>
    <row r="7311" spans="2:5" x14ac:dyDescent="0.35">
      <c r="B7311" s="1"/>
    </row>
    <row r="7312" spans="2:5" x14ac:dyDescent="0.35">
      <c r="B7312" s="1"/>
      <c r="E7312" s="2"/>
    </row>
    <row r="7313" spans="2:5" x14ac:dyDescent="0.35">
      <c r="B7313" s="1"/>
    </row>
    <row r="7314" spans="2:5" x14ac:dyDescent="0.35">
      <c r="B7314" s="1"/>
      <c r="E7314" s="2"/>
    </row>
    <row r="7315" spans="2:5" x14ac:dyDescent="0.35">
      <c r="B7315" s="1"/>
    </row>
    <row r="7316" spans="2:5" x14ac:dyDescent="0.35">
      <c r="B7316" s="1"/>
      <c r="E7316" s="2"/>
    </row>
    <row r="7317" spans="2:5" x14ac:dyDescent="0.35">
      <c r="B7317" s="1"/>
    </row>
    <row r="7318" spans="2:5" x14ac:dyDescent="0.35">
      <c r="B7318" s="1"/>
      <c r="E7318" s="2"/>
    </row>
    <row r="7319" spans="2:5" x14ac:dyDescent="0.35">
      <c r="B7319" s="1"/>
      <c r="E7319" s="2"/>
    </row>
    <row r="7320" spans="2:5" x14ac:dyDescent="0.35">
      <c r="B7320" s="1"/>
      <c r="E7320" s="2"/>
    </row>
    <row r="7321" spans="2:5" x14ac:dyDescent="0.35">
      <c r="B7321" s="1"/>
      <c r="E7321" s="2"/>
    </row>
    <row r="7322" spans="2:5" x14ac:dyDescent="0.35">
      <c r="B7322" s="1"/>
      <c r="E7322" s="2"/>
    </row>
    <row r="7323" spans="2:5" x14ac:dyDescent="0.35">
      <c r="B7323" s="1"/>
      <c r="E7323" s="2"/>
    </row>
    <row r="7324" spans="2:5" x14ac:dyDescent="0.35">
      <c r="B7324" s="1"/>
    </row>
    <row r="7325" spans="2:5" x14ac:dyDescent="0.35">
      <c r="B7325" s="1"/>
      <c r="E7325" s="2"/>
    </row>
    <row r="7326" spans="2:5" x14ac:dyDescent="0.35">
      <c r="B7326" s="1"/>
      <c r="E7326" s="2"/>
    </row>
    <row r="7327" spans="2:5" x14ac:dyDescent="0.35">
      <c r="B7327" s="1"/>
      <c r="E7327" s="2"/>
    </row>
    <row r="7328" spans="2:5" x14ac:dyDescent="0.35">
      <c r="B7328" s="1"/>
      <c r="E7328" s="2"/>
    </row>
    <row r="7329" spans="2:5" x14ac:dyDescent="0.35">
      <c r="B7329" s="1"/>
      <c r="E7329" s="2"/>
    </row>
    <row r="7330" spans="2:5" x14ac:dyDescent="0.35">
      <c r="B7330" s="1"/>
    </row>
    <row r="7331" spans="2:5" x14ac:dyDescent="0.35">
      <c r="B7331" s="1"/>
    </row>
    <row r="7332" spans="2:5" x14ac:dyDescent="0.35">
      <c r="B7332" s="1"/>
      <c r="E7332" s="2"/>
    </row>
    <row r="7333" spans="2:5" x14ac:dyDescent="0.35">
      <c r="B7333" s="1"/>
    </row>
    <row r="7334" spans="2:5" x14ac:dyDescent="0.35">
      <c r="B7334" s="1"/>
      <c r="E7334" s="2"/>
    </row>
    <row r="7335" spans="2:5" x14ac:dyDescent="0.35">
      <c r="B7335" s="1"/>
    </row>
    <row r="7336" spans="2:5" x14ac:dyDescent="0.35">
      <c r="B7336" s="1"/>
    </row>
    <row r="7337" spans="2:5" x14ac:dyDescent="0.35">
      <c r="B7337" s="1"/>
      <c r="E7337" s="2"/>
    </row>
    <row r="7338" spans="2:5" x14ac:dyDescent="0.35">
      <c r="B7338" s="1"/>
      <c r="E7338" s="2"/>
    </row>
    <row r="7339" spans="2:5" x14ac:dyDescent="0.35">
      <c r="B7339" s="1"/>
    </row>
    <row r="7340" spans="2:5" x14ac:dyDescent="0.35">
      <c r="B7340" s="1"/>
      <c r="E7340" s="2"/>
    </row>
    <row r="7341" spans="2:5" x14ac:dyDescent="0.35">
      <c r="B7341" s="1"/>
      <c r="E7341" s="2"/>
    </row>
    <row r="7342" spans="2:5" x14ac:dyDescent="0.35">
      <c r="B7342" s="1"/>
      <c r="E7342" s="2"/>
    </row>
    <row r="7343" spans="2:5" x14ac:dyDescent="0.35">
      <c r="B7343" s="1"/>
      <c r="E7343" s="2"/>
    </row>
    <row r="7344" spans="2:5" x14ac:dyDescent="0.35">
      <c r="B7344" s="1"/>
    </row>
    <row r="7345" spans="2:5" x14ac:dyDescent="0.35">
      <c r="B7345" s="1"/>
      <c r="E7345" s="2"/>
    </row>
    <row r="7346" spans="2:5" x14ac:dyDescent="0.35">
      <c r="B7346" s="1"/>
    </row>
    <row r="7347" spans="2:5" x14ac:dyDescent="0.35">
      <c r="B7347" s="1"/>
    </row>
    <row r="7348" spans="2:5" x14ac:dyDescent="0.35">
      <c r="B7348" s="1"/>
      <c r="E7348" s="2"/>
    </row>
    <row r="7349" spans="2:5" x14ac:dyDescent="0.35">
      <c r="B7349" s="1"/>
      <c r="E7349" s="2"/>
    </row>
    <row r="7350" spans="2:5" x14ac:dyDescent="0.35">
      <c r="B7350" s="1"/>
    </row>
    <row r="7351" spans="2:5" x14ac:dyDescent="0.35">
      <c r="B7351" s="1"/>
      <c r="E7351" s="2"/>
    </row>
    <row r="7352" spans="2:5" x14ac:dyDescent="0.35">
      <c r="B7352" s="1"/>
    </row>
    <row r="7353" spans="2:5" x14ac:dyDescent="0.35">
      <c r="B7353" s="1"/>
    </row>
    <row r="7354" spans="2:5" x14ac:dyDescent="0.35">
      <c r="B7354" s="1"/>
    </row>
    <row r="7355" spans="2:5" x14ac:dyDescent="0.35">
      <c r="B7355" s="1"/>
    </row>
    <row r="7356" spans="2:5" x14ac:dyDescent="0.35">
      <c r="B7356" s="1"/>
      <c r="E7356" s="2"/>
    </row>
    <row r="7357" spans="2:5" x14ac:dyDescent="0.35">
      <c r="B7357" s="1"/>
    </row>
    <row r="7358" spans="2:5" x14ac:dyDescent="0.35">
      <c r="B7358" s="1"/>
    </row>
    <row r="7359" spans="2:5" x14ac:dyDescent="0.35">
      <c r="B7359" s="1"/>
    </row>
    <row r="7360" spans="2:5" x14ac:dyDescent="0.35">
      <c r="B7360" s="1"/>
    </row>
    <row r="7361" spans="2:5" x14ac:dyDescent="0.35">
      <c r="B7361" s="1"/>
    </row>
    <row r="7362" spans="2:5" x14ac:dyDescent="0.35">
      <c r="B7362" s="1"/>
      <c r="E7362" s="2"/>
    </row>
    <row r="7363" spans="2:5" x14ac:dyDescent="0.35">
      <c r="B7363" s="1"/>
    </row>
    <row r="7364" spans="2:5" x14ac:dyDescent="0.35">
      <c r="B7364" s="1"/>
    </row>
    <row r="7365" spans="2:5" x14ac:dyDescent="0.35">
      <c r="B7365" s="1"/>
    </row>
    <row r="7366" spans="2:5" x14ac:dyDescent="0.35">
      <c r="B7366" s="1"/>
      <c r="E7366" s="2"/>
    </row>
    <row r="7367" spans="2:5" x14ac:dyDescent="0.35">
      <c r="B7367" s="1"/>
    </row>
    <row r="7368" spans="2:5" x14ac:dyDescent="0.35">
      <c r="B7368" s="1"/>
    </row>
    <row r="7369" spans="2:5" x14ac:dyDescent="0.35">
      <c r="B7369" s="1"/>
      <c r="E7369" s="2"/>
    </row>
    <row r="7370" spans="2:5" x14ac:dyDescent="0.35">
      <c r="B7370" s="1"/>
      <c r="E7370" s="2"/>
    </row>
    <row r="7371" spans="2:5" x14ac:dyDescent="0.35">
      <c r="B7371" s="1"/>
      <c r="E7371" s="2"/>
    </row>
    <row r="7372" spans="2:5" x14ac:dyDescent="0.35">
      <c r="B7372" s="1"/>
      <c r="E7372" s="2"/>
    </row>
    <row r="7373" spans="2:5" x14ac:dyDescent="0.35">
      <c r="B7373" s="1"/>
      <c r="E7373" s="2"/>
    </row>
    <row r="7374" spans="2:5" x14ac:dyDescent="0.35">
      <c r="B7374" s="1"/>
      <c r="E7374" s="2"/>
    </row>
    <row r="7375" spans="2:5" x14ac:dyDescent="0.35">
      <c r="B7375" s="1"/>
    </row>
    <row r="7376" spans="2:5" x14ac:dyDescent="0.35">
      <c r="B7376" s="1"/>
    </row>
    <row r="7377" spans="2:5" x14ac:dyDescent="0.35">
      <c r="B7377" s="1"/>
    </row>
    <row r="7378" spans="2:5" x14ac:dyDescent="0.35">
      <c r="B7378" s="1"/>
      <c r="E7378" s="2"/>
    </row>
    <row r="7379" spans="2:5" x14ac:dyDescent="0.35">
      <c r="B7379" s="1"/>
      <c r="E7379" s="2"/>
    </row>
    <row r="7380" spans="2:5" x14ac:dyDescent="0.35">
      <c r="B7380" s="1"/>
      <c r="E7380" s="2"/>
    </row>
    <row r="7381" spans="2:5" x14ac:dyDescent="0.35">
      <c r="B7381" s="1"/>
      <c r="E7381" s="2"/>
    </row>
    <row r="7382" spans="2:5" x14ac:dyDescent="0.35">
      <c r="B7382" s="1"/>
      <c r="E7382" s="2"/>
    </row>
    <row r="7383" spans="2:5" x14ac:dyDescent="0.35">
      <c r="B7383" s="1"/>
    </row>
    <row r="7384" spans="2:5" x14ac:dyDescent="0.35">
      <c r="B7384" s="1"/>
    </row>
    <row r="7385" spans="2:5" x14ac:dyDescent="0.35">
      <c r="B7385" s="1"/>
      <c r="E7385" s="2"/>
    </row>
    <row r="7386" spans="2:5" x14ac:dyDescent="0.35">
      <c r="B7386" s="1"/>
      <c r="E7386" s="2"/>
    </row>
    <row r="7387" spans="2:5" x14ac:dyDescent="0.35">
      <c r="B7387" s="1"/>
      <c r="E7387" s="2"/>
    </row>
    <row r="7388" spans="2:5" x14ac:dyDescent="0.35">
      <c r="B7388" s="1"/>
      <c r="E7388" s="2"/>
    </row>
    <row r="7389" spans="2:5" x14ac:dyDescent="0.35">
      <c r="B7389" s="1"/>
      <c r="E7389" s="2"/>
    </row>
    <row r="7390" spans="2:5" x14ac:dyDescent="0.35">
      <c r="B7390" s="1"/>
    </row>
    <row r="7391" spans="2:5" x14ac:dyDescent="0.35">
      <c r="B7391" s="1"/>
      <c r="E7391" s="2"/>
    </row>
    <row r="7392" spans="2:5" x14ac:dyDescent="0.35">
      <c r="B7392" s="1"/>
    </row>
    <row r="7393" spans="2:5" x14ac:dyDescent="0.35">
      <c r="B7393" s="1"/>
      <c r="E7393" s="2"/>
    </row>
    <row r="7394" spans="2:5" x14ac:dyDescent="0.35">
      <c r="B7394" s="1"/>
    </row>
    <row r="7395" spans="2:5" x14ac:dyDescent="0.35">
      <c r="B7395" s="1"/>
      <c r="E7395" s="2"/>
    </row>
    <row r="7396" spans="2:5" x14ac:dyDescent="0.35">
      <c r="B7396" s="1"/>
    </row>
    <row r="7397" spans="2:5" x14ac:dyDescent="0.35">
      <c r="B7397" s="1"/>
      <c r="E7397" s="2"/>
    </row>
    <row r="7398" spans="2:5" x14ac:dyDescent="0.35">
      <c r="B7398" s="1"/>
    </row>
    <row r="7399" spans="2:5" x14ac:dyDescent="0.35">
      <c r="B7399" s="1"/>
    </row>
    <row r="7400" spans="2:5" x14ac:dyDescent="0.35">
      <c r="B7400" s="1"/>
      <c r="E7400" s="2"/>
    </row>
    <row r="7401" spans="2:5" x14ac:dyDescent="0.35">
      <c r="B7401" s="1"/>
      <c r="E7401" s="2"/>
    </row>
    <row r="7402" spans="2:5" x14ac:dyDescent="0.35">
      <c r="B7402" s="1"/>
    </row>
    <row r="7403" spans="2:5" x14ac:dyDescent="0.35">
      <c r="B7403" s="1"/>
      <c r="E7403" s="2"/>
    </row>
    <row r="7404" spans="2:5" x14ac:dyDescent="0.35">
      <c r="B7404" s="1"/>
    </row>
    <row r="7405" spans="2:5" x14ac:dyDescent="0.35">
      <c r="B7405" s="1"/>
      <c r="E7405" s="2"/>
    </row>
    <row r="7406" spans="2:5" x14ac:dyDescent="0.35">
      <c r="B7406" s="1"/>
    </row>
    <row r="7407" spans="2:5" x14ac:dyDescent="0.35">
      <c r="B7407" s="1"/>
      <c r="E7407" s="2"/>
    </row>
    <row r="7408" spans="2:5" x14ac:dyDescent="0.35">
      <c r="B7408" s="1"/>
    </row>
    <row r="7409" spans="2:5" x14ac:dyDescent="0.35">
      <c r="B7409" s="1"/>
    </row>
    <row r="7410" spans="2:5" x14ac:dyDescent="0.35">
      <c r="B7410" s="1"/>
    </row>
    <row r="7411" spans="2:5" x14ac:dyDescent="0.35">
      <c r="B7411" s="1"/>
    </row>
    <row r="7412" spans="2:5" x14ac:dyDescent="0.35">
      <c r="B7412" s="1"/>
    </row>
    <row r="7413" spans="2:5" x14ac:dyDescent="0.35">
      <c r="B7413" s="1"/>
    </row>
    <row r="7414" spans="2:5" x14ac:dyDescent="0.35">
      <c r="B7414" s="1"/>
      <c r="E7414" s="2"/>
    </row>
    <row r="7415" spans="2:5" x14ac:dyDescent="0.35">
      <c r="B7415" s="1"/>
      <c r="E7415" s="2"/>
    </row>
    <row r="7416" spans="2:5" x14ac:dyDescent="0.35">
      <c r="B7416" s="1"/>
      <c r="E7416" s="2"/>
    </row>
    <row r="7417" spans="2:5" x14ac:dyDescent="0.35">
      <c r="B7417" s="1"/>
      <c r="E7417" s="2"/>
    </row>
    <row r="7418" spans="2:5" x14ac:dyDescent="0.35">
      <c r="B7418" s="1"/>
      <c r="E7418" s="2"/>
    </row>
    <row r="7419" spans="2:5" x14ac:dyDescent="0.35">
      <c r="B7419" s="1"/>
    </row>
    <row r="7420" spans="2:5" x14ac:dyDescent="0.35">
      <c r="B7420" s="1"/>
    </row>
    <row r="7421" spans="2:5" x14ac:dyDescent="0.35">
      <c r="B7421" s="1"/>
      <c r="E7421" s="2"/>
    </row>
    <row r="7422" spans="2:5" x14ac:dyDescent="0.35">
      <c r="B7422" s="1"/>
    </row>
    <row r="7423" spans="2:5" x14ac:dyDescent="0.35">
      <c r="B7423" s="1"/>
    </row>
    <row r="7424" spans="2:5" x14ac:dyDescent="0.35">
      <c r="B7424" s="1"/>
      <c r="E7424" s="2"/>
    </row>
    <row r="7425" spans="2:5" x14ac:dyDescent="0.35">
      <c r="B7425" s="1"/>
    </row>
    <row r="7426" spans="2:5" x14ac:dyDescent="0.35">
      <c r="B7426" s="1"/>
    </row>
    <row r="7427" spans="2:5" x14ac:dyDescent="0.35">
      <c r="B7427" s="1"/>
      <c r="E7427" s="2"/>
    </row>
    <row r="7428" spans="2:5" x14ac:dyDescent="0.35">
      <c r="B7428" s="1"/>
      <c r="E7428" s="2"/>
    </row>
    <row r="7429" spans="2:5" x14ac:dyDescent="0.35">
      <c r="B7429" s="1"/>
      <c r="E7429" s="2"/>
    </row>
    <row r="7430" spans="2:5" x14ac:dyDescent="0.35">
      <c r="B7430" s="1"/>
      <c r="E7430" s="2"/>
    </row>
    <row r="7431" spans="2:5" x14ac:dyDescent="0.35">
      <c r="B7431" s="1"/>
      <c r="E7431" s="2"/>
    </row>
    <row r="7432" spans="2:5" x14ac:dyDescent="0.35">
      <c r="B7432" s="1"/>
      <c r="E7432" s="2"/>
    </row>
    <row r="7433" spans="2:5" x14ac:dyDescent="0.35">
      <c r="B7433" s="1"/>
      <c r="E7433" s="2"/>
    </row>
    <row r="7434" spans="2:5" x14ac:dyDescent="0.35">
      <c r="B7434" s="1"/>
      <c r="E7434" s="2"/>
    </row>
    <row r="7435" spans="2:5" x14ac:dyDescent="0.35">
      <c r="B7435" s="1"/>
    </row>
    <row r="7436" spans="2:5" x14ac:dyDescent="0.35">
      <c r="B7436" s="1"/>
    </row>
    <row r="7437" spans="2:5" x14ac:dyDescent="0.35">
      <c r="B7437" s="1"/>
      <c r="E7437" s="2"/>
    </row>
    <row r="7438" spans="2:5" x14ac:dyDescent="0.35">
      <c r="B7438" s="1"/>
      <c r="E7438" s="2"/>
    </row>
    <row r="7439" spans="2:5" x14ac:dyDescent="0.35">
      <c r="B7439" s="1"/>
    </row>
    <row r="7440" spans="2:5" x14ac:dyDescent="0.35">
      <c r="B7440" s="1"/>
      <c r="E7440" s="2"/>
    </row>
    <row r="7441" spans="2:5" x14ac:dyDescent="0.35">
      <c r="B7441" s="1"/>
    </row>
    <row r="7442" spans="2:5" x14ac:dyDescent="0.35">
      <c r="B7442" s="1"/>
    </row>
    <row r="7443" spans="2:5" x14ac:dyDescent="0.35">
      <c r="B7443" s="1"/>
      <c r="E7443" s="2"/>
    </row>
    <row r="7444" spans="2:5" x14ac:dyDescent="0.35">
      <c r="B7444" s="1"/>
    </row>
    <row r="7445" spans="2:5" x14ac:dyDescent="0.35">
      <c r="B7445" s="1"/>
      <c r="E7445" s="2"/>
    </row>
    <row r="7446" spans="2:5" x14ac:dyDescent="0.35">
      <c r="B7446" s="1"/>
      <c r="E7446" s="2"/>
    </row>
    <row r="7447" spans="2:5" x14ac:dyDescent="0.35">
      <c r="B7447" s="1"/>
    </row>
    <row r="7448" spans="2:5" x14ac:dyDescent="0.35">
      <c r="B7448" s="1"/>
    </row>
    <row r="7449" spans="2:5" x14ac:dyDescent="0.35">
      <c r="B7449" s="1"/>
      <c r="E7449" s="2"/>
    </row>
    <row r="7450" spans="2:5" x14ac:dyDescent="0.35">
      <c r="B7450" s="1"/>
      <c r="E7450" s="2"/>
    </row>
    <row r="7451" spans="2:5" x14ac:dyDescent="0.35">
      <c r="B7451" s="1"/>
    </row>
    <row r="7452" spans="2:5" x14ac:dyDescent="0.35">
      <c r="B7452" s="1"/>
    </row>
    <row r="7453" spans="2:5" x14ac:dyDescent="0.35">
      <c r="B7453" s="1"/>
    </row>
    <row r="7454" spans="2:5" x14ac:dyDescent="0.35">
      <c r="B7454" s="1"/>
    </row>
    <row r="7455" spans="2:5" x14ac:dyDescent="0.35">
      <c r="B7455" s="1"/>
    </row>
    <row r="7456" spans="2:5" x14ac:dyDescent="0.35">
      <c r="B7456" s="1"/>
      <c r="E7456" s="2"/>
    </row>
    <row r="7457" spans="2:5" x14ac:dyDescent="0.35">
      <c r="B7457" s="1"/>
    </row>
    <row r="7458" spans="2:5" x14ac:dyDescent="0.35">
      <c r="B7458" s="1"/>
      <c r="E7458" s="2"/>
    </row>
    <row r="7459" spans="2:5" x14ac:dyDescent="0.35">
      <c r="B7459" s="1"/>
    </row>
    <row r="7460" spans="2:5" x14ac:dyDescent="0.35">
      <c r="B7460" s="1"/>
    </row>
    <row r="7461" spans="2:5" x14ac:dyDescent="0.35">
      <c r="B7461" s="1"/>
      <c r="E7461" s="2"/>
    </row>
    <row r="7462" spans="2:5" x14ac:dyDescent="0.35">
      <c r="B7462" s="1"/>
      <c r="E7462" s="2"/>
    </row>
    <row r="7463" spans="2:5" x14ac:dyDescent="0.35">
      <c r="B7463" s="1"/>
    </row>
    <row r="7464" spans="2:5" x14ac:dyDescent="0.35">
      <c r="B7464" s="1"/>
      <c r="E7464" s="2"/>
    </row>
    <row r="7465" spans="2:5" x14ac:dyDescent="0.35">
      <c r="B7465" s="1"/>
    </row>
    <row r="7466" spans="2:5" x14ac:dyDescent="0.35">
      <c r="B7466" s="1"/>
    </row>
    <row r="7467" spans="2:5" x14ac:dyDescent="0.35">
      <c r="B7467" s="1"/>
      <c r="E7467" s="2"/>
    </row>
    <row r="7468" spans="2:5" x14ac:dyDescent="0.35">
      <c r="B7468" s="1"/>
      <c r="E7468" s="2"/>
    </row>
    <row r="7469" spans="2:5" x14ac:dyDescent="0.35">
      <c r="B7469" s="1"/>
    </row>
    <row r="7470" spans="2:5" x14ac:dyDescent="0.35">
      <c r="B7470" s="1"/>
    </row>
    <row r="7471" spans="2:5" x14ac:dyDescent="0.35">
      <c r="B7471" s="1"/>
    </row>
    <row r="7472" spans="2:5" x14ac:dyDescent="0.35">
      <c r="B7472" s="1"/>
      <c r="E7472" s="2"/>
    </row>
    <row r="7473" spans="2:5" x14ac:dyDescent="0.35">
      <c r="B7473" s="1"/>
    </row>
    <row r="7474" spans="2:5" x14ac:dyDescent="0.35">
      <c r="B7474" s="1"/>
      <c r="E7474" s="2"/>
    </row>
    <row r="7475" spans="2:5" x14ac:dyDescent="0.35">
      <c r="B7475" s="1"/>
    </row>
    <row r="7476" spans="2:5" x14ac:dyDescent="0.35">
      <c r="B7476" s="1"/>
      <c r="E7476" s="2"/>
    </row>
    <row r="7477" spans="2:5" x14ac:dyDescent="0.35">
      <c r="B7477" s="1"/>
      <c r="E7477" s="2"/>
    </row>
    <row r="7478" spans="2:5" x14ac:dyDescent="0.35">
      <c r="B7478" s="1"/>
    </row>
    <row r="7479" spans="2:5" x14ac:dyDescent="0.35">
      <c r="B7479" s="1"/>
    </row>
    <row r="7480" spans="2:5" x14ac:dyDescent="0.35">
      <c r="B7480" s="1"/>
      <c r="E7480" s="2"/>
    </row>
    <row r="7481" spans="2:5" x14ac:dyDescent="0.35">
      <c r="B7481" s="1"/>
      <c r="E7481" s="2"/>
    </row>
    <row r="7482" spans="2:5" x14ac:dyDescent="0.35">
      <c r="B7482" s="1"/>
      <c r="E7482" s="2"/>
    </row>
    <row r="7483" spans="2:5" x14ac:dyDescent="0.35">
      <c r="B7483" s="1"/>
      <c r="E7483" s="2"/>
    </row>
    <row r="7484" spans="2:5" x14ac:dyDescent="0.35">
      <c r="B7484" s="1"/>
    </row>
    <row r="7485" spans="2:5" x14ac:dyDescent="0.35">
      <c r="B7485" s="1"/>
    </row>
    <row r="7486" spans="2:5" x14ac:dyDescent="0.35">
      <c r="B7486" s="1"/>
    </row>
    <row r="7487" spans="2:5" x14ac:dyDescent="0.35">
      <c r="B7487" s="1"/>
    </row>
    <row r="7488" spans="2:5" x14ac:dyDescent="0.35">
      <c r="B7488" s="1"/>
      <c r="E7488" s="2"/>
    </row>
    <row r="7489" spans="2:5" x14ac:dyDescent="0.35">
      <c r="B7489" s="1"/>
      <c r="E7489" s="2"/>
    </row>
    <row r="7490" spans="2:5" x14ac:dyDescent="0.35">
      <c r="B7490" s="1"/>
    </row>
    <row r="7491" spans="2:5" x14ac:dyDescent="0.35">
      <c r="B7491" s="1"/>
      <c r="E7491" s="2"/>
    </row>
    <row r="7492" spans="2:5" x14ac:dyDescent="0.35">
      <c r="B7492" s="1"/>
    </row>
    <row r="7493" spans="2:5" x14ac:dyDescent="0.35">
      <c r="B7493" s="1"/>
      <c r="E7493" s="2"/>
    </row>
    <row r="7494" spans="2:5" x14ac:dyDescent="0.35">
      <c r="B7494" s="1"/>
      <c r="E7494" s="2"/>
    </row>
    <row r="7495" spans="2:5" x14ac:dyDescent="0.35">
      <c r="B7495" s="1"/>
      <c r="E7495" s="2"/>
    </row>
    <row r="7496" spans="2:5" x14ac:dyDescent="0.35">
      <c r="B7496" s="1"/>
    </row>
    <row r="7497" spans="2:5" x14ac:dyDescent="0.35">
      <c r="B7497" s="1"/>
    </row>
    <row r="7498" spans="2:5" x14ac:dyDescent="0.35">
      <c r="B7498" s="1"/>
      <c r="E7498" s="2"/>
    </row>
    <row r="7499" spans="2:5" x14ac:dyDescent="0.35">
      <c r="B7499" s="1"/>
      <c r="E7499" s="2"/>
    </row>
    <row r="7500" spans="2:5" x14ac:dyDescent="0.35">
      <c r="B7500" s="1"/>
      <c r="E7500" s="2"/>
    </row>
    <row r="7501" spans="2:5" x14ac:dyDescent="0.35">
      <c r="B7501" s="1"/>
      <c r="E7501" s="2"/>
    </row>
    <row r="7502" spans="2:5" x14ac:dyDescent="0.35">
      <c r="B7502" s="1"/>
    </row>
    <row r="7503" spans="2:5" x14ac:dyDescent="0.35">
      <c r="B7503" s="1"/>
    </row>
    <row r="7504" spans="2:5" x14ac:dyDescent="0.35">
      <c r="B7504" s="1"/>
    </row>
    <row r="7505" spans="2:5" x14ac:dyDescent="0.35">
      <c r="B7505" s="1"/>
      <c r="E7505" s="2"/>
    </row>
    <row r="7506" spans="2:5" x14ac:dyDescent="0.35">
      <c r="B7506" s="1"/>
    </row>
    <row r="7507" spans="2:5" x14ac:dyDescent="0.35">
      <c r="B7507" s="1"/>
    </row>
    <row r="7508" spans="2:5" x14ac:dyDescent="0.35">
      <c r="B7508" s="1"/>
      <c r="E7508" s="2"/>
    </row>
    <row r="7509" spans="2:5" x14ac:dyDescent="0.35">
      <c r="B7509" s="1"/>
      <c r="E7509" s="2"/>
    </row>
    <row r="7510" spans="2:5" x14ac:dyDescent="0.35">
      <c r="B7510" s="1"/>
    </row>
    <row r="7511" spans="2:5" x14ac:dyDescent="0.35">
      <c r="B7511" s="1"/>
      <c r="E7511" s="2"/>
    </row>
    <row r="7512" spans="2:5" x14ac:dyDescent="0.35">
      <c r="B7512" s="1"/>
    </row>
    <row r="7513" spans="2:5" x14ac:dyDescent="0.35">
      <c r="B7513" s="1"/>
    </row>
    <row r="7514" spans="2:5" x14ac:dyDescent="0.35">
      <c r="B7514" s="1"/>
      <c r="E7514" s="2"/>
    </row>
    <row r="7515" spans="2:5" x14ac:dyDescent="0.35">
      <c r="B7515" s="1"/>
    </row>
    <row r="7516" spans="2:5" x14ac:dyDescent="0.35">
      <c r="B7516" s="1"/>
    </row>
    <row r="7517" spans="2:5" x14ac:dyDescent="0.35">
      <c r="B7517" s="1"/>
      <c r="E7517" s="2"/>
    </row>
    <row r="7518" spans="2:5" x14ac:dyDescent="0.35">
      <c r="B7518" s="1"/>
      <c r="E7518" s="2"/>
    </row>
    <row r="7519" spans="2:5" x14ac:dyDescent="0.35">
      <c r="B7519" s="1"/>
      <c r="E7519" s="2"/>
    </row>
    <row r="7520" spans="2:5" x14ac:dyDescent="0.35">
      <c r="B7520" s="1"/>
    </row>
    <row r="7521" spans="2:5" x14ac:dyDescent="0.35">
      <c r="B7521" s="1"/>
    </row>
    <row r="7522" spans="2:5" x14ac:dyDescent="0.35">
      <c r="B7522" s="1"/>
    </row>
    <row r="7523" spans="2:5" x14ac:dyDescent="0.35">
      <c r="B7523" s="1"/>
    </row>
    <row r="7524" spans="2:5" x14ac:dyDescent="0.35">
      <c r="B7524" s="1"/>
    </row>
    <row r="7525" spans="2:5" x14ac:dyDescent="0.35">
      <c r="B7525" s="1"/>
      <c r="E7525" s="2"/>
    </row>
    <row r="7526" spans="2:5" x14ac:dyDescent="0.35">
      <c r="B7526" s="1"/>
      <c r="E7526" s="2"/>
    </row>
    <row r="7527" spans="2:5" x14ac:dyDescent="0.35">
      <c r="B7527" s="1"/>
      <c r="E7527" s="2"/>
    </row>
    <row r="7528" spans="2:5" x14ac:dyDescent="0.35">
      <c r="B7528" s="1"/>
      <c r="E7528" s="2"/>
    </row>
    <row r="7529" spans="2:5" x14ac:dyDescent="0.35">
      <c r="B7529" s="1"/>
      <c r="E7529" s="2"/>
    </row>
    <row r="7530" spans="2:5" x14ac:dyDescent="0.35">
      <c r="B7530" s="1"/>
      <c r="E7530" s="2"/>
    </row>
    <row r="7531" spans="2:5" x14ac:dyDescent="0.35">
      <c r="B7531" s="1"/>
      <c r="E7531" s="2"/>
    </row>
    <row r="7532" spans="2:5" x14ac:dyDescent="0.35">
      <c r="B7532" s="1"/>
    </row>
    <row r="7533" spans="2:5" x14ac:dyDescent="0.35">
      <c r="B7533" s="1"/>
      <c r="E7533" s="2"/>
    </row>
    <row r="7534" spans="2:5" x14ac:dyDescent="0.35">
      <c r="B7534" s="1"/>
    </row>
    <row r="7535" spans="2:5" x14ac:dyDescent="0.35">
      <c r="B7535" s="1"/>
      <c r="E7535" s="2"/>
    </row>
    <row r="7536" spans="2:5" x14ac:dyDescent="0.35">
      <c r="B7536" s="1"/>
      <c r="E7536" s="2"/>
    </row>
    <row r="7537" spans="2:5" x14ac:dyDescent="0.35">
      <c r="B7537" s="1"/>
    </row>
    <row r="7538" spans="2:5" x14ac:dyDescent="0.35">
      <c r="B7538" s="1"/>
      <c r="E7538" s="2"/>
    </row>
    <row r="7539" spans="2:5" x14ac:dyDescent="0.35">
      <c r="B7539" s="1"/>
    </row>
    <row r="7540" spans="2:5" x14ac:dyDescent="0.35">
      <c r="B7540" s="1"/>
      <c r="E7540" s="2"/>
    </row>
    <row r="7541" spans="2:5" x14ac:dyDescent="0.35">
      <c r="B7541" s="1"/>
    </row>
    <row r="7542" spans="2:5" x14ac:dyDescent="0.35">
      <c r="B7542" s="1"/>
    </row>
    <row r="7543" spans="2:5" x14ac:dyDescent="0.35">
      <c r="B7543" s="1"/>
      <c r="E7543" s="2"/>
    </row>
    <row r="7544" spans="2:5" x14ac:dyDescent="0.35">
      <c r="B7544" s="1"/>
    </row>
    <row r="7545" spans="2:5" x14ac:dyDescent="0.35">
      <c r="B7545" s="1"/>
    </row>
    <row r="7546" spans="2:5" x14ac:dyDescent="0.35">
      <c r="B7546" s="1"/>
      <c r="E7546" s="2"/>
    </row>
    <row r="7547" spans="2:5" x14ac:dyDescent="0.35">
      <c r="B7547" s="1"/>
      <c r="E7547" s="2"/>
    </row>
    <row r="7548" spans="2:5" x14ac:dyDescent="0.35">
      <c r="B7548" s="1"/>
      <c r="E7548" s="2"/>
    </row>
    <row r="7549" spans="2:5" x14ac:dyDescent="0.35">
      <c r="B7549" s="1"/>
      <c r="E7549" s="2"/>
    </row>
    <row r="7550" spans="2:5" x14ac:dyDescent="0.35">
      <c r="B7550" s="1"/>
    </row>
    <row r="7551" spans="2:5" x14ac:dyDescent="0.35">
      <c r="B7551" s="1"/>
      <c r="E7551" s="2"/>
    </row>
    <row r="7552" spans="2:5" x14ac:dyDescent="0.35">
      <c r="B7552" s="1"/>
      <c r="E7552" s="2"/>
    </row>
    <row r="7553" spans="2:5" x14ac:dyDescent="0.35">
      <c r="B7553" s="1"/>
      <c r="E7553" s="2"/>
    </row>
    <row r="7554" spans="2:5" x14ac:dyDescent="0.35">
      <c r="B7554" s="1"/>
      <c r="E7554" s="2"/>
    </row>
    <row r="7555" spans="2:5" x14ac:dyDescent="0.35">
      <c r="B7555" s="1"/>
      <c r="E7555" s="2"/>
    </row>
    <row r="7556" spans="2:5" x14ac:dyDescent="0.35">
      <c r="B7556" s="1"/>
    </row>
    <row r="7557" spans="2:5" x14ac:dyDescent="0.35">
      <c r="B7557" s="1"/>
      <c r="E7557" s="2"/>
    </row>
    <row r="7558" spans="2:5" x14ac:dyDescent="0.35">
      <c r="B7558" s="1"/>
      <c r="E7558" s="2"/>
    </row>
    <row r="7559" spans="2:5" x14ac:dyDescent="0.35">
      <c r="B7559" s="1"/>
    </row>
    <row r="7560" spans="2:5" x14ac:dyDescent="0.35">
      <c r="B7560" s="1"/>
    </row>
    <row r="7561" spans="2:5" x14ac:dyDescent="0.35">
      <c r="B7561" s="1"/>
    </row>
    <row r="7562" spans="2:5" x14ac:dyDescent="0.35">
      <c r="B7562" s="1"/>
    </row>
    <row r="7563" spans="2:5" x14ac:dyDescent="0.35">
      <c r="B7563" s="1"/>
    </row>
    <row r="7564" spans="2:5" x14ac:dyDescent="0.35">
      <c r="B7564" s="1"/>
      <c r="E7564" s="2"/>
    </row>
    <row r="7565" spans="2:5" x14ac:dyDescent="0.35">
      <c r="B7565" s="1"/>
      <c r="E7565" s="2"/>
    </row>
    <row r="7566" spans="2:5" x14ac:dyDescent="0.35">
      <c r="B7566" s="1"/>
    </row>
    <row r="7567" spans="2:5" x14ac:dyDescent="0.35">
      <c r="B7567" s="1"/>
      <c r="E7567" s="2"/>
    </row>
    <row r="7568" spans="2:5" x14ac:dyDescent="0.35">
      <c r="B7568" s="1"/>
    </row>
    <row r="7569" spans="2:5" x14ac:dyDescent="0.35">
      <c r="B7569" s="1"/>
    </row>
    <row r="7570" spans="2:5" x14ac:dyDescent="0.35">
      <c r="B7570" s="1"/>
      <c r="E7570" s="2"/>
    </row>
    <row r="7571" spans="2:5" x14ac:dyDescent="0.35">
      <c r="B7571" s="1"/>
      <c r="E7571" s="2"/>
    </row>
    <row r="7572" spans="2:5" x14ac:dyDescent="0.35">
      <c r="B7572" s="1"/>
      <c r="E7572" s="2"/>
    </row>
    <row r="7573" spans="2:5" x14ac:dyDescent="0.35">
      <c r="B7573" s="1"/>
    </row>
    <row r="7574" spans="2:5" x14ac:dyDescent="0.35">
      <c r="B7574" s="1"/>
      <c r="E7574" s="2"/>
    </row>
    <row r="7575" spans="2:5" x14ac:dyDescent="0.35">
      <c r="B7575" s="1"/>
      <c r="E7575" s="2"/>
    </row>
    <row r="7576" spans="2:5" x14ac:dyDescent="0.35">
      <c r="B7576" s="1"/>
    </row>
    <row r="7577" spans="2:5" x14ac:dyDescent="0.35">
      <c r="B7577" s="1"/>
      <c r="E7577" s="2"/>
    </row>
    <row r="7578" spans="2:5" x14ac:dyDescent="0.35">
      <c r="B7578" s="1"/>
      <c r="E7578" s="2"/>
    </row>
    <row r="7579" spans="2:5" x14ac:dyDescent="0.35">
      <c r="B7579" s="1"/>
      <c r="E7579" s="2"/>
    </row>
    <row r="7580" spans="2:5" x14ac:dyDescent="0.35">
      <c r="B7580" s="1"/>
      <c r="E7580" s="2"/>
    </row>
    <row r="7581" spans="2:5" x14ac:dyDescent="0.35">
      <c r="B7581" s="1"/>
      <c r="E7581" s="2"/>
    </row>
    <row r="7582" spans="2:5" x14ac:dyDescent="0.35">
      <c r="B7582" s="1"/>
      <c r="E7582" s="2"/>
    </row>
    <row r="7583" spans="2:5" x14ac:dyDescent="0.35">
      <c r="B7583" s="1"/>
      <c r="E7583" s="2"/>
    </row>
    <row r="7584" spans="2:5" x14ac:dyDescent="0.35">
      <c r="B7584" s="1"/>
      <c r="E7584" s="2"/>
    </row>
    <row r="7585" spans="2:5" x14ac:dyDescent="0.35">
      <c r="B7585" s="1"/>
      <c r="E7585" s="2"/>
    </row>
    <row r="7586" spans="2:5" x14ac:dyDescent="0.35">
      <c r="B7586" s="1"/>
      <c r="E7586" s="2"/>
    </row>
    <row r="7587" spans="2:5" x14ac:dyDescent="0.35">
      <c r="B7587" s="1"/>
    </row>
    <row r="7588" spans="2:5" x14ac:dyDescent="0.35">
      <c r="B7588" s="1"/>
      <c r="E7588" s="2"/>
    </row>
    <row r="7589" spans="2:5" x14ac:dyDescent="0.35">
      <c r="B7589" s="1"/>
    </row>
    <row r="7590" spans="2:5" x14ac:dyDescent="0.35">
      <c r="B7590" s="1"/>
    </row>
    <row r="7591" spans="2:5" x14ac:dyDescent="0.35">
      <c r="B7591" s="1"/>
      <c r="E7591" s="2"/>
    </row>
    <row r="7592" spans="2:5" x14ac:dyDescent="0.35">
      <c r="B7592" s="1"/>
    </row>
    <row r="7593" spans="2:5" x14ac:dyDescent="0.35">
      <c r="B7593" s="1"/>
      <c r="E7593" s="2"/>
    </row>
    <row r="7594" spans="2:5" x14ac:dyDescent="0.35">
      <c r="B7594" s="1"/>
      <c r="E7594" s="2"/>
    </row>
    <row r="7595" spans="2:5" x14ac:dyDescent="0.35">
      <c r="B7595" s="1"/>
      <c r="E7595" s="2"/>
    </row>
    <row r="7596" spans="2:5" x14ac:dyDescent="0.35">
      <c r="B7596" s="1"/>
      <c r="E7596" s="2"/>
    </row>
    <row r="7597" spans="2:5" x14ac:dyDescent="0.35">
      <c r="B7597" s="1"/>
    </row>
    <row r="7598" spans="2:5" x14ac:dyDescent="0.35">
      <c r="B7598" s="1"/>
      <c r="E7598" s="2"/>
    </row>
    <row r="7599" spans="2:5" x14ac:dyDescent="0.35">
      <c r="B7599" s="1"/>
      <c r="E7599" s="2"/>
    </row>
    <row r="7600" spans="2:5" x14ac:dyDescent="0.35">
      <c r="B7600" s="1"/>
      <c r="E7600" s="2"/>
    </row>
    <row r="7601" spans="2:5" x14ac:dyDescent="0.35">
      <c r="B7601" s="1"/>
      <c r="E7601" s="2"/>
    </row>
    <row r="7602" spans="2:5" x14ac:dyDescent="0.35">
      <c r="B7602" s="1"/>
      <c r="E7602" s="2"/>
    </row>
    <row r="7603" spans="2:5" x14ac:dyDescent="0.35">
      <c r="B7603" s="1"/>
      <c r="E7603" s="2"/>
    </row>
    <row r="7604" spans="2:5" x14ac:dyDescent="0.35">
      <c r="B7604" s="1"/>
    </row>
    <row r="7605" spans="2:5" x14ac:dyDescent="0.35">
      <c r="B7605" s="1"/>
      <c r="E7605" s="2"/>
    </row>
    <row r="7606" spans="2:5" x14ac:dyDescent="0.35">
      <c r="B7606" s="1"/>
    </row>
    <row r="7607" spans="2:5" x14ac:dyDescent="0.35">
      <c r="B7607" s="1"/>
      <c r="E7607" s="2"/>
    </row>
    <row r="7608" spans="2:5" x14ac:dyDescent="0.35">
      <c r="B7608" s="1"/>
      <c r="E7608" s="2"/>
    </row>
    <row r="7609" spans="2:5" x14ac:dyDescent="0.35">
      <c r="B7609" s="1"/>
    </row>
    <row r="7610" spans="2:5" x14ac:dyDescent="0.35">
      <c r="B7610" s="1"/>
      <c r="E7610" s="2"/>
    </row>
    <row r="7611" spans="2:5" x14ac:dyDescent="0.35">
      <c r="B7611" s="1"/>
    </row>
    <row r="7612" spans="2:5" x14ac:dyDescent="0.35">
      <c r="B7612" s="1"/>
    </row>
    <row r="7613" spans="2:5" x14ac:dyDescent="0.35">
      <c r="B7613" s="1"/>
      <c r="E7613" s="2"/>
    </row>
    <row r="7614" spans="2:5" x14ac:dyDescent="0.35">
      <c r="B7614" s="1"/>
      <c r="E7614" s="2"/>
    </row>
    <row r="7615" spans="2:5" x14ac:dyDescent="0.35">
      <c r="B7615" s="1"/>
      <c r="E7615" s="2"/>
    </row>
    <row r="7616" spans="2:5" x14ac:dyDescent="0.35">
      <c r="B7616" s="1"/>
      <c r="E7616" s="2"/>
    </row>
    <row r="7617" spans="2:5" x14ac:dyDescent="0.35">
      <c r="B7617" s="1"/>
      <c r="E7617" s="2"/>
    </row>
    <row r="7618" spans="2:5" x14ac:dyDescent="0.35">
      <c r="B7618" s="1"/>
    </row>
    <row r="7619" spans="2:5" x14ac:dyDescent="0.35">
      <c r="B7619" s="1"/>
    </row>
    <row r="7620" spans="2:5" x14ac:dyDescent="0.35">
      <c r="B7620" s="1"/>
    </row>
    <row r="7621" spans="2:5" x14ac:dyDescent="0.35">
      <c r="B7621" s="1"/>
      <c r="E7621" s="2"/>
    </row>
    <row r="7622" spans="2:5" x14ac:dyDescent="0.35">
      <c r="B7622" s="1"/>
      <c r="E7622" s="2"/>
    </row>
    <row r="7623" spans="2:5" x14ac:dyDescent="0.35">
      <c r="B7623" s="1"/>
    </row>
    <row r="7624" spans="2:5" x14ac:dyDescent="0.35">
      <c r="B7624" s="1"/>
      <c r="E7624" s="2"/>
    </row>
    <row r="7625" spans="2:5" x14ac:dyDescent="0.35">
      <c r="B7625" s="1"/>
      <c r="E7625" s="2"/>
    </row>
    <row r="7626" spans="2:5" x14ac:dyDescent="0.35">
      <c r="B7626" s="1"/>
    </row>
    <row r="7627" spans="2:5" x14ac:dyDescent="0.35">
      <c r="B7627" s="1"/>
      <c r="E7627" s="2"/>
    </row>
    <row r="7628" spans="2:5" x14ac:dyDescent="0.35">
      <c r="B7628" s="1"/>
      <c r="E7628" s="2"/>
    </row>
    <row r="7629" spans="2:5" x14ac:dyDescent="0.35">
      <c r="B7629" s="1"/>
    </row>
    <row r="7630" spans="2:5" x14ac:dyDescent="0.35">
      <c r="B7630" s="1"/>
      <c r="E7630" s="2"/>
    </row>
    <row r="7631" spans="2:5" x14ac:dyDescent="0.35">
      <c r="B7631" s="1"/>
      <c r="E7631" s="2"/>
    </row>
    <row r="7632" spans="2:5" x14ac:dyDescent="0.35">
      <c r="B7632" s="1"/>
      <c r="E7632" s="2"/>
    </row>
    <row r="7633" spans="2:5" x14ac:dyDescent="0.35">
      <c r="B7633" s="1"/>
    </row>
    <row r="7634" spans="2:5" x14ac:dyDescent="0.35">
      <c r="B7634" s="1"/>
    </row>
    <row r="7635" spans="2:5" x14ac:dyDescent="0.35">
      <c r="B7635" s="1"/>
    </row>
    <row r="7636" spans="2:5" x14ac:dyDescent="0.35">
      <c r="B7636" s="1"/>
    </row>
    <row r="7637" spans="2:5" x14ac:dyDescent="0.35">
      <c r="B7637" s="1"/>
    </row>
    <row r="7638" spans="2:5" x14ac:dyDescent="0.35">
      <c r="B7638" s="1"/>
      <c r="E7638" s="2"/>
    </row>
    <row r="7639" spans="2:5" x14ac:dyDescent="0.35">
      <c r="B7639" s="1"/>
    </row>
    <row r="7640" spans="2:5" x14ac:dyDescent="0.35">
      <c r="B7640" s="1"/>
    </row>
    <row r="7641" spans="2:5" x14ac:dyDescent="0.35">
      <c r="B7641" s="1"/>
      <c r="E7641" s="2"/>
    </row>
    <row r="7642" spans="2:5" x14ac:dyDescent="0.35">
      <c r="B7642" s="1"/>
      <c r="E7642" s="2"/>
    </row>
    <row r="7643" spans="2:5" x14ac:dyDescent="0.35">
      <c r="B7643" s="1"/>
      <c r="E7643" s="2"/>
    </row>
    <row r="7644" spans="2:5" x14ac:dyDescent="0.35">
      <c r="B7644" s="1"/>
    </row>
    <row r="7645" spans="2:5" x14ac:dyDescent="0.35">
      <c r="B7645" s="1"/>
      <c r="E7645" s="2"/>
    </row>
    <row r="7646" spans="2:5" x14ac:dyDescent="0.35">
      <c r="B7646" s="1"/>
      <c r="E7646" s="2"/>
    </row>
    <row r="7647" spans="2:5" x14ac:dyDescent="0.35">
      <c r="B7647" s="1"/>
      <c r="E7647" s="2"/>
    </row>
    <row r="7648" spans="2:5" x14ac:dyDescent="0.35">
      <c r="B7648" s="1"/>
      <c r="E7648" s="2"/>
    </row>
    <row r="7649" spans="2:5" x14ac:dyDescent="0.35">
      <c r="B7649" s="1"/>
      <c r="E7649" s="2"/>
    </row>
    <row r="7650" spans="2:5" x14ac:dyDescent="0.35">
      <c r="B7650" s="1"/>
      <c r="E7650" s="2"/>
    </row>
    <row r="7651" spans="2:5" x14ac:dyDescent="0.35">
      <c r="B7651" s="1"/>
      <c r="E7651" s="2"/>
    </row>
    <row r="7652" spans="2:5" x14ac:dyDescent="0.35">
      <c r="B7652" s="1"/>
      <c r="E7652" s="2"/>
    </row>
    <row r="7653" spans="2:5" x14ac:dyDescent="0.35">
      <c r="B7653" s="1"/>
      <c r="E7653" s="2"/>
    </row>
    <row r="7654" spans="2:5" x14ac:dyDescent="0.35">
      <c r="B7654" s="1"/>
      <c r="E7654" s="2"/>
    </row>
    <row r="7655" spans="2:5" x14ac:dyDescent="0.35">
      <c r="B7655" s="1"/>
      <c r="E7655" s="2"/>
    </row>
    <row r="7656" spans="2:5" x14ac:dyDescent="0.35">
      <c r="B7656" s="1"/>
      <c r="E7656" s="2"/>
    </row>
    <row r="7657" spans="2:5" x14ac:dyDescent="0.35">
      <c r="B7657" s="1"/>
      <c r="E7657" s="2"/>
    </row>
    <row r="7658" spans="2:5" x14ac:dyDescent="0.35">
      <c r="B7658" s="1"/>
      <c r="E7658" s="2"/>
    </row>
    <row r="7659" spans="2:5" x14ac:dyDescent="0.35">
      <c r="B7659" s="1"/>
      <c r="E7659" s="2"/>
    </row>
    <row r="7660" spans="2:5" x14ac:dyDescent="0.35">
      <c r="B7660" s="1"/>
    </row>
    <row r="7661" spans="2:5" x14ac:dyDescent="0.35">
      <c r="B7661" s="1"/>
      <c r="E7661" s="2"/>
    </row>
    <row r="7662" spans="2:5" x14ac:dyDescent="0.35">
      <c r="B7662" s="1"/>
    </row>
    <row r="7663" spans="2:5" x14ac:dyDescent="0.35">
      <c r="B7663" s="1"/>
      <c r="E7663" s="2"/>
    </row>
    <row r="7664" spans="2:5" x14ac:dyDescent="0.35">
      <c r="B7664" s="1"/>
    </row>
    <row r="7665" spans="2:5" x14ac:dyDescent="0.35">
      <c r="B7665" s="1"/>
      <c r="E7665" s="2"/>
    </row>
    <row r="7666" spans="2:5" x14ac:dyDescent="0.35">
      <c r="B7666" s="1"/>
      <c r="E7666" s="2"/>
    </row>
    <row r="7667" spans="2:5" x14ac:dyDescent="0.35">
      <c r="B7667" s="1"/>
    </row>
    <row r="7668" spans="2:5" x14ac:dyDescent="0.35">
      <c r="B7668" s="1"/>
    </row>
    <row r="7669" spans="2:5" x14ac:dyDescent="0.35">
      <c r="B7669" s="1"/>
    </row>
    <row r="7670" spans="2:5" x14ac:dyDescent="0.35">
      <c r="B7670" s="1"/>
      <c r="E7670" s="2"/>
    </row>
    <row r="7671" spans="2:5" x14ac:dyDescent="0.35">
      <c r="B7671" s="1"/>
    </row>
    <row r="7672" spans="2:5" x14ac:dyDescent="0.35">
      <c r="B7672" s="1"/>
    </row>
    <row r="7673" spans="2:5" x14ac:dyDescent="0.35">
      <c r="B7673" s="1"/>
    </row>
    <row r="7674" spans="2:5" x14ac:dyDescent="0.35">
      <c r="B7674" s="1"/>
      <c r="E7674" s="2"/>
    </row>
    <row r="7675" spans="2:5" x14ac:dyDescent="0.35">
      <c r="B7675" s="1"/>
    </row>
    <row r="7676" spans="2:5" x14ac:dyDescent="0.35">
      <c r="B7676" s="1"/>
    </row>
    <row r="7677" spans="2:5" x14ac:dyDescent="0.35">
      <c r="B7677" s="1"/>
    </row>
    <row r="7678" spans="2:5" x14ac:dyDescent="0.35">
      <c r="B7678" s="1"/>
    </row>
    <row r="7679" spans="2:5" x14ac:dyDescent="0.35">
      <c r="B7679" s="1"/>
      <c r="E7679" s="2"/>
    </row>
    <row r="7680" spans="2:5" x14ac:dyDescent="0.35">
      <c r="B7680" s="1"/>
      <c r="E7680" s="2"/>
    </row>
    <row r="7681" spans="2:5" x14ac:dyDescent="0.35">
      <c r="B7681" s="1"/>
      <c r="E7681" s="2"/>
    </row>
    <row r="7682" spans="2:5" x14ac:dyDescent="0.35">
      <c r="B7682" s="1"/>
      <c r="E7682" s="2"/>
    </row>
    <row r="7683" spans="2:5" x14ac:dyDescent="0.35">
      <c r="B7683" s="1"/>
      <c r="E7683" s="2"/>
    </row>
    <row r="7684" spans="2:5" x14ac:dyDescent="0.35">
      <c r="B7684" s="1"/>
    </row>
    <row r="7685" spans="2:5" x14ac:dyDescent="0.35">
      <c r="B7685" s="1"/>
      <c r="E7685" s="2"/>
    </row>
    <row r="7686" spans="2:5" x14ac:dyDescent="0.35">
      <c r="B7686" s="1"/>
      <c r="E7686" s="2"/>
    </row>
    <row r="7687" spans="2:5" x14ac:dyDescent="0.35">
      <c r="B7687" s="1"/>
      <c r="E7687" s="2"/>
    </row>
    <row r="7688" spans="2:5" x14ac:dyDescent="0.35">
      <c r="B7688" s="1"/>
      <c r="E7688" s="2"/>
    </row>
    <row r="7689" spans="2:5" x14ac:dyDescent="0.35">
      <c r="B7689" s="1"/>
    </row>
    <row r="7690" spans="2:5" x14ac:dyDescent="0.35">
      <c r="B7690" s="1"/>
      <c r="E7690" s="2"/>
    </row>
    <row r="7691" spans="2:5" x14ac:dyDescent="0.35">
      <c r="B7691" s="1"/>
    </row>
    <row r="7692" spans="2:5" x14ac:dyDescent="0.35">
      <c r="B7692" s="1"/>
    </row>
    <row r="7693" spans="2:5" x14ac:dyDescent="0.35">
      <c r="B7693" s="1"/>
      <c r="E7693" s="2"/>
    </row>
    <row r="7694" spans="2:5" x14ac:dyDescent="0.35">
      <c r="B7694" s="1"/>
      <c r="E7694" s="2"/>
    </row>
    <row r="7695" spans="2:5" x14ac:dyDescent="0.35">
      <c r="B7695" s="1"/>
    </row>
    <row r="7696" spans="2:5" x14ac:dyDescent="0.35">
      <c r="B7696" s="1"/>
      <c r="E7696" s="2"/>
    </row>
    <row r="7697" spans="2:5" x14ac:dyDescent="0.35">
      <c r="B7697" s="1"/>
      <c r="E7697" s="2"/>
    </row>
    <row r="7698" spans="2:5" x14ac:dyDescent="0.35">
      <c r="B7698" s="1"/>
    </row>
    <row r="7699" spans="2:5" x14ac:dyDescent="0.35">
      <c r="B7699" s="1"/>
      <c r="E7699" s="2"/>
    </row>
    <row r="7700" spans="2:5" x14ac:dyDescent="0.35">
      <c r="B7700" s="1"/>
      <c r="E7700" s="2"/>
    </row>
    <row r="7701" spans="2:5" x14ac:dyDescent="0.35">
      <c r="B7701" s="1"/>
    </row>
    <row r="7702" spans="2:5" x14ac:dyDescent="0.35">
      <c r="B7702" s="1"/>
      <c r="E7702" s="2"/>
    </row>
    <row r="7703" spans="2:5" x14ac:dyDescent="0.35">
      <c r="B7703" s="1"/>
      <c r="E7703" s="2"/>
    </row>
    <row r="7704" spans="2:5" x14ac:dyDescent="0.35">
      <c r="B7704" s="1"/>
    </row>
    <row r="7705" spans="2:5" x14ac:dyDescent="0.35">
      <c r="B7705" s="1"/>
    </row>
    <row r="7706" spans="2:5" x14ac:dyDescent="0.35">
      <c r="B7706" s="1"/>
      <c r="E7706" s="2"/>
    </row>
    <row r="7707" spans="2:5" x14ac:dyDescent="0.35">
      <c r="B7707" s="1"/>
    </row>
    <row r="7708" spans="2:5" x14ac:dyDescent="0.35">
      <c r="B7708" s="1"/>
    </row>
    <row r="7709" spans="2:5" x14ac:dyDescent="0.35">
      <c r="B7709" s="1"/>
    </row>
    <row r="7710" spans="2:5" x14ac:dyDescent="0.35">
      <c r="B7710" s="1"/>
    </row>
    <row r="7711" spans="2:5" x14ac:dyDescent="0.35">
      <c r="B7711" s="1"/>
    </row>
    <row r="7712" spans="2:5" x14ac:dyDescent="0.35">
      <c r="B7712" s="1"/>
      <c r="E7712" s="2"/>
    </row>
    <row r="7713" spans="2:5" x14ac:dyDescent="0.35">
      <c r="B7713" s="1"/>
    </row>
    <row r="7714" spans="2:5" x14ac:dyDescent="0.35">
      <c r="B7714" s="1"/>
      <c r="E7714" s="2"/>
    </row>
    <row r="7715" spans="2:5" x14ac:dyDescent="0.35">
      <c r="B7715" s="1"/>
      <c r="E7715" s="2"/>
    </row>
    <row r="7716" spans="2:5" x14ac:dyDescent="0.35">
      <c r="B7716" s="1"/>
      <c r="E7716" s="2"/>
    </row>
    <row r="7717" spans="2:5" x14ac:dyDescent="0.35">
      <c r="B7717" s="1"/>
      <c r="E7717" s="2"/>
    </row>
    <row r="7718" spans="2:5" x14ac:dyDescent="0.35">
      <c r="B7718" s="1"/>
      <c r="E7718" s="2"/>
    </row>
    <row r="7719" spans="2:5" x14ac:dyDescent="0.35">
      <c r="B7719" s="1"/>
    </row>
    <row r="7720" spans="2:5" x14ac:dyDescent="0.35">
      <c r="B7720" s="1"/>
      <c r="E7720" s="2"/>
    </row>
    <row r="7721" spans="2:5" x14ac:dyDescent="0.35">
      <c r="B7721" s="1"/>
    </row>
    <row r="7722" spans="2:5" x14ac:dyDescent="0.35">
      <c r="B7722" s="1"/>
      <c r="E7722" s="2"/>
    </row>
    <row r="7723" spans="2:5" x14ac:dyDescent="0.35">
      <c r="B7723" s="1"/>
      <c r="E7723" s="2"/>
    </row>
    <row r="7724" spans="2:5" x14ac:dyDescent="0.35">
      <c r="B7724" s="1"/>
      <c r="E7724" s="2"/>
    </row>
    <row r="7725" spans="2:5" x14ac:dyDescent="0.35">
      <c r="B7725" s="1"/>
      <c r="E7725" s="2"/>
    </row>
    <row r="7726" spans="2:5" x14ac:dyDescent="0.35">
      <c r="B7726" s="1"/>
    </row>
    <row r="7727" spans="2:5" x14ac:dyDescent="0.35">
      <c r="B7727" s="1"/>
    </row>
    <row r="7728" spans="2:5" x14ac:dyDescent="0.35">
      <c r="B7728" s="1"/>
      <c r="E7728" s="2"/>
    </row>
    <row r="7729" spans="2:5" x14ac:dyDescent="0.35">
      <c r="B7729" s="1"/>
    </row>
    <row r="7730" spans="2:5" x14ac:dyDescent="0.35">
      <c r="B7730" s="1"/>
      <c r="E7730" s="2"/>
    </row>
    <row r="7731" spans="2:5" x14ac:dyDescent="0.35">
      <c r="B7731" s="1"/>
      <c r="E7731" s="2"/>
    </row>
    <row r="7732" spans="2:5" x14ac:dyDescent="0.35">
      <c r="B7732" s="1"/>
      <c r="E7732" s="2"/>
    </row>
    <row r="7733" spans="2:5" x14ac:dyDescent="0.35">
      <c r="B7733" s="1"/>
      <c r="E7733" s="2"/>
    </row>
    <row r="7734" spans="2:5" x14ac:dyDescent="0.35">
      <c r="B7734" s="1"/>
      <c r="E7734" s="2"/>
    </row>
    <row r="7735" spans="2:5" x14ac:dyDescent="0.35">
      <c r="B7735" s="1"/>
    </row>
    <row r="7736" spans="2:5" x14ac:dyDescent="0.35">
      <c r="B7736" s="1"/>
      <c r="E7736" s="2"/>
    </row>
    <row r="7737" spans="2:5" x14ac:dyDescent="0.35">
      <c r="B7737" s="1"/>
      <c r="E7737" s="2"/>
    </row>
    <row r="7738" spans="2:5" x14ac:dyDescent="0.35">
      <c r="B7738" s="1"/>
      <c r="E7738" s="2"/>
    </row>
    <row r="7739" spans="2:5" x14ac:dyDescent="0.35">
      <c r="B7739" s="1"/>
      <c r="E7739" s="2"/>
    </row>
    <row r="7740" spans="2:5" x14ac:dyDescent="0.35">
      <c r="B7740" s="1"/>
    </row>
    <row r="7741" spans="2:5" x14ac:dyDescent="0.35">
      <c r="B7741" s="1"/>
      <c r="E7741" s="2"/>
    </row>
    <row r="7742" spans="2:5" x14ac:dyDescent="0.35">
      <c r="B7742" s="1"/>
      <c r="E7742" s="2"/>
    </row>
    <row r="7743" spans="2:5" x14ac:dyDescent="0.35">
      <c r="B7743" s="1"/>
    </row>
    <row r="7744" spans="2:5" x14ac:dyDescent="0.35">
      <c r="B7744" s="1"/>
    </row>
    <row r="7745" spans="2:5" x14ac:dyDescent="0.35">
      <c r="B7745" s="1"/>
      <c r="E7745" s="2"/>
    </row>
    <row r="7746" spans="2:5" x14ac:dyDescent="0.35">
      <c r="B7746" s="1"/>
      <c r="E7746" s="2"/>
    </row>
    <row r="7747" spans="2:5" x14ac:dyDescent="0.35">
      <c r="B7747" s="1"/>
      <c r="E7747" s="2"/>
    </row>
    <row r="7748" spans="2:5" x14ac:dyDescent="0.35">
      <c r="B7748" s="1"/>
      <c r="E7748" s="2"/>
    </row>
    <row r="7749" spans="2:5" x14ac:dyDescent="0.35">
      <c r="B7749" s="1"/>
      <c r="E7749" s="2"/>
    </row>
    <row r="7750" spans="2:5" x14ac:dyDescent="0.35">
      <c r="B7750" s="1"/>
    </row>
    <row r="7751" spans="2:5" x14ac:dyDescent="0.35">
      <c r="B7751" s="1"/>
    </row>
    <row r="7752" spans="2:5" x14ac:dyDescent="0.35">
      <c r="B7752" s="1"/>
      <c r="E7752" s="2"/>
    </row>
    <row r="7753" spans="2:5" x14ac:dyDescent="0.35">
      <c r="B7753" s="1"/>
      <c r="E7753" s="2"/>
    </row>
    <row r="7754" spans="2:5" x14ac:dyDescent="0.35">
      <c r="B7754" s="1"/>
      <c r="E7754" s="2"/>
    </row>
    <row r="7755" spans="2:5" x14ac:dyDescent="0.35">
      <c r="B7755" s="1"/>
    </row>
    <row r="7756" spans="2:5" x14ac:dyDescent="0.35">
      <c r="B7756" s="1"/>
      <c r="E7756" s="2"/>
    </row>
    <row r="7757" spans="2:5" x14ac:dyDescent="0.35">
      <c r="B7757" s="1"/>
    </row>
    <row r="7758" spans="2:5" x14ac:dyDescent="0.35">
      <c r="B7758" s="1"/>
    </row>
    <row r="7759" spans="2:5" x14ac:dyDescent="0.35">
      <c r="B7759" s="1"/>
    </row>
    <row r="7760" spans="2:5" x14ac:dyDescent="0.35">
      <c r="B7760" s="1"/>
      <c r="E7760" s="2"/>
    </row>
    <row r="7761" spans="2:5" x14ac:dyDescent="0.35">
      <c r="B7761" s="1"/>
      <c r="E7761" s="2"/>
    </row>
    <row r="7762" spans="2:5" x14ac:dyDescent="0.35">
      <c r="B7762" s="1"/>
    </row>
    <row r="7763" spans="2:5" x14ac:dyDescent="0.35">
      <c r="B7763" s="1"/>
    </row>
    <row r="7764" spans="2:5" x14ac:dyDescent="0.35">
      <c r="B7764" s="1"/>
      <c r="E7764" s="2"/>
    </row>
    <row r="7765" spans="2:5" x14ac:dyDescent="0.35">
      <c r="B7765" s="1"/>
    </row>
    <row r="7766" spans="2:5" x14ac:dyDescent="0.35">
      <c r="B7766" s="1"/>
      <c r="E7766" s="2"/>
    </row>
    <row r="7767" spans="2:5" x14ac:dyDescent="0.35">
      <c r="B7767" s="1"/>
    </row>
    <row r="7768" spans="2:5" x14ac:dyDescent="0.35">
      <c r="B7768" s="1"/>
      <c r="E7768" s="2"/>
    </row>
    <row r="7769" spans="2:5" x14ac:dyDescent="0.35">
      <c r="B7769" s="1"/>
    </row>
    <row r="7770" spans="2:5" x14ac:dyDescent="0.35">
      <c r="B7770" s="1"/>
      <c r="E7770" s="2"/>
    </row>
    <row r="7771" spans="2:5" x14ac:dyDescent="0.35">
      <c r="B7771" s="1"/>
    </row>
    <row r="7772" spans="2:5" x14ac:dyDescent="0.35">
      <c r="B7772" s="1"/>
      <c r="E7772" s="2"/>
    </row>
    <row r="7773" spans="2:5" x14ac:dyDescent="0.35">
      <c r="B7773" s="1"/>
    </row>
    <row r="7774" spans="2:5" x14ac:dyDescent="0.35">
      <c r="B7774" s="1"/>
      <c r="E7774" s="2"/>
    </row>
    <row r="7775" spans="2:5" x14ac:dyDescent="0.35">
      <c r="B7775" s="1"/>
    </row>
    <row r="7776" spans="2:5" x14ac:dyDescent="0.35">
      <c r="B7776" s="1"/>
      <c r="E7776" s="2"/>
    </row>
    <row r="7777" spans="2:5" x14ac:dyDescent="0.35">
      <c r="B7777" s="1"/>
      <c r="E7777" s="2"/>
    </row>
    <row r="7778" spans="2:5" x14ac:dyDescent="0.35">
      <c r="B7778" s="1"/>
      <c r="E7778" s="2"/>
    </row>
    <row r="7779" spans="2:5" x14ac:dyDescent="0.35">
      <c r="B7779" s="1"/>
    </row>
    <row r="7780" spans="2:5" x14ac:dyDescent="0.35">
      <c r="B7780" s="1"/>
      <c r="E7780" s="2"/>
    </row>
    <row r="7781" spans="2:5" x14ac:dyDescent="0.35">
      <c r="B7781" s="1"/>
      <c r="E7781" s="2"/>
    </row>
    <row r="7782" spans="2:5" x14ac:dyDescent="0.35">
      <c r="B7782" s="1"/>
    </row>
    <row r="7783" spans="2:5" x14ac:dyDescent="0.35">
      <c r="B7783" s="1"/>
      <c r="E7783" s="2"/>
    </row>
    <row r="7784" spans="2:5" x14ac:dyDescent="0.35">
      <c r="B7784" s="1"/>
    </row>
    <row r="7785" spans="2:5" x14ac:dyDescent="0.35">
      <c r="B7785" s="1"/>
      <c r="E7785" s="2"/>
    </row>
    <row r="7786" spans="2:5" x14ac:dyDescent="0.35">
      <c r="B7786" s="1"/>
      <c r="E7786" s="2"/>
    </row>
    <row r="7787" spans="2:5" x14ac:dyDescent="0.35">
      <c r="B7787" s="1"/>
    </row>
    <row r="7788" spans="2:5" x14ac:dyDescent="0.35">
      <c r="B7788" s="1"/>
      <c r="E7788" s="2"/>
    </row>
    <row r="7789" spans="2:5" x14ac:dyDescent="0.35">
      <c r="B7789" s="1"/>
    </row>
    <row r="7790" spans="2:5" x14ac:dyDescent="0.35">
      <c r="B7790" s="1"/>
      <c r="E7790" s="2"/>
    </row>
    <row r="7791" spans="2:5" x14ac:dyDescent="0.35">
      <c r="B7791" s="1"/>
    </row>
    <row r="7792" spans="2:5" x14ac:dyDescent="0.35">
      <c r="B7792" s="1"/>
      <c r="E7792" s="2"/>
    </row>
    <row r="7793" spans="2:5" x14ac:dyDescent="0.35">
      <c r="B7793" s="1"/>
      <c r="E7793" s="2"/>
    </row>
    <row r="7794" spans="2:5" x14ac:dyDescent="0.35">
      <c r="B7794" s="1"/>
      <c r="E7794" s="2"/>
    </row>
    <row r="7795" spans="2:5" x14ac:dyDescent="0.35">
      <c r="B7795" s="1"/>
      <c r="E7795" s="2"/>
    </row>
    <row r="7796" spans="2:5" x14ac:dyDescent="0.35">
      <c r="B7796" s="1"/>
    </row>
    <row r="7797" spans="2:5" x14ac:dyDescent="0.35">
      <c r="B7797" s="1"/>
      <c r="E7797" s="2"/>
    </row>
    <row r="7798" spans="2:5" x14ac:dyDescent="0.35">
      <c r="B7798" s="1"/>
    </row>
    <row r="7799" spans="2:5" x14ac:dyDescent="0.35">
      <c r="B7799" s="1"/>
    </row>
    <row r="7800" spans="2:5" x14ac:dyDescent="0.35">
      <c r="B7800" s="1"/>
      <c r="E7800" s="2"/>
    </row>
    <row r="7801" spans="2:5" x14ac:dyDescent="0.35">
      <c r="B7801" s="1"/>
      <c r="E7801" s="2"/>
    </row>
    <row r="7802" spans="2:5" x14ac:dyDescent="0.35">
      <c r="B7802" s="1"/>
      <c r="E7802" s="2"/>
    </row>
    <row r="7803" spans="2:5" x14ac:dyDescent="0.35">
      <c r="B7803" s="1"/>
    </row>
    <row r="7804" spans="2:5" x14ac:dyDescent="0.35">
      <c r="B7804" s="1"/>
      <c r="E7804" s="2"/>
    </row>
    <row r="7805" spans="2:5" x14ac:dyDescent="0.35">
      <c r="B7805" s="1"/>
    </row>
    <row r="7806" spans="2:5" x14ac:dyDescent="0.35">
      <c r="B7806" s="1"/>
      <c r="E7806" s="2"/>
    </row>
    <row r="7807" spans="2:5" x14ac:dyDescent="0.35">
      <c r="B7807" s="1"/>
      <c r="E7807" s="2"/>
    </row>
    <row r="7808" spans="2:5" x14ac:dyDescent="0.35">
      <c r="B7808" s="1"/>
    </row>
    <row r="7809" spans="2:5" x14ac:dyDescent="0.35">
      <c r="B7809" s="1"/>
    </row>
    <row r="7810" spans="2:5" x14ac:dyDescent="0.35">
      <c r="B7810" s="1"/>
    </row>
    <row r="7811" spans="2:5" x14ac:dyDescent="0.35">
      <c r="B7811" s="1"/>
    </row>
    <row r="7812" spans="2:5" x14ac:dyDescent="0.35">
      <c r="B7812" s="1"/>
    </row>
    <row r="7813" spans="2:5" x14ac:dyDescent="0.35">
      <c r="B7813" s="1"/>
    </row>
    <row r="7814" spans="2:5" x14ac:dyDescent="0.35">
      <c r="B7814" s="1"/>
      <c r="E7814" s="2"/>
    </row>
    <row r="7815" spans="2:5" x14ac:dyDescent="0.35">
      <c r="B7815" s="1"/>
      <c r="E7815" s="2"/>
    </row>
    <row r="7816" spans="2:5" x14ac:dyDescent="0.35">
      <c r="B7816" s="1"/>
    </row>
    <row r="7817" spans="2:5" x14ac:dyDescent="0.35">
      <c r="B7817" s="1"/>
      <c r="E7817" s="2"/>
    </row>
    <row r="7818" spans="2:5" x14ac:dyDescent="0.35">
      <c r="B7818" s="1"/>
      <c r="E7818" s="2"/>
    </row>
    <row r="7819" spans="2:5" x14ac:dyDescent="0.35">
      <c r="B7819" s="1"/>
      <c r="E7819" s="2"/>
    </row>
    <row r="7820" spans="2:5" x14ac:dyDescent="0.35">
      <c r="B7820" s="1"/>
    </row>
    <row r="7821" spans="2:5" x14ac:dyDescent="0.35">
      <c r="B7821" s="1"/>
    </row>
    <row r="7822" spans="2:5" x14ac:dyDescent="0.35">
      <c r="B7822" s="1"/>
    </row>
    <row r="7823" spans="2:5" x14ac:dyDescent="0.35">
      <c r="B7823" s="1"/>
      <c r="E7823" s="2"/>
    </row>
    <row r="7824" spans="2:5" x14ac:dyDescent="0.35">
      <c r="B7824" s="1"/>
    </row>
    <row r="7825" spans="2:5" x14ac:dyDescent="0.35">
      <c r="B7825" s="1"/>
      <c r="E7825" s="2"/>
    </row>
    <row r="7826" spans="2:5" x14ac:dyDescent="0.35">
      <c r="B7826" s="1"/>
      <c r="E7826" s="2"/>
    </row>
    <row r="7827" spans="2:5" x14ac:dyDescent="0.35">
      <c r="B7827" s="1"/>
    </row>
    <row r="7828" spans="2:5" x14ac:dyDescent="0.35">
      <c r="B7828" s="1"/>
      <c r="E7828" s="2"/>
    </row>
    <row r="7829" spans="2:5" x14ac:dyDescent="0.35">
      <c r="B7829" s="1"/>
    </row>
    <row r="7830" spans="2:5" x14ac:dyDescent="0.35">
      <c r="B7830" s="1"/>
      <c r="E7830" s="2"/>
    </row>
    <row r="7831" spans="2:5" x14ac:dyDescent="0.35">
      <c r="B7831" s="1"/>
    </row>
    <row r="7832" spans="2:5" x14ac:dyDescent="0.35">
      <c r="B7832" s="1"/>
      <c r="E7832" s="2"/>
    </row>
    <row r="7833" spans="2:5" x14ac:dyDescent="0.35">
      <c r="B7833" s="1"/>
      <c r="E7833" s="2"/>
    </row>
    <row r="7834" spans="2:5" x14ac:dyDescent="0.35">
      <c r="B7834" s="1"/>
    </row>
    <row r="7835" spans="2:5" x14ac:dyDescent="0.35">
      <c r="B7835" s="1"/>
      <c r="E7835" s="2"/>
    </row>
    <row r="7836" spans="2:5" x14ac:dyDescent="0.35">
      <c r="B7836" s="1"/>
    </row>
    <row r="7837" spans="2:5" x14ac:dyDescent="0.35">
      <c r="B7837" s="1"/>
    </row>
    <row r="7838" spans="2:5" x14ac:dyDescent="0.35">
      <c r="B7838" s="1"/>
      <c r="E7838" s="2"/>
    </row>
    <row r="7839" spans="2:5" x14ac:dyDescent="0.35">
      <c r="B7839" s="1"/>
    </row>
    <row r="7840" spans="2:5" x14ac:dyDescent="0.35">
      <c r="B7840" s="1"/>
      <c r="E7840" s="2"/>
    </row>
    <row r="7841" spans="2:5" x14ac:dyDescent="0.35">
      <c r="B7841" s="1"/>
      <c r="E7841" s="2"/>
    </row>
    <row r="7842" spans="2:5" x14ac:dyDescent="0.35">
      <c r="B7842" s="1"/>
      <c r="E7842" s="2"/>
    </row>
    <row r="7843" spans="2:5" x14ac:dyDescent="0.35">
      <c r="B7843" s="1"/>
    </row>
    <row r="7844" spans="2:5" x14ac:dyDescent="0.35">
      <c r="B7844" s="1"/>
      <c r="E7844" s="2"/>
    </row>
    <row r="7845" spans="2:5" x14ac:dyDescent="0.35">
      <c r="B7845" s="1"/>
      <c r="E7845" s="2"/>
    </row>
    <row r="7846" spans="2:5" x14ac:dyDescent="0.35">
      <c r="B7846" s="1"/>
      <c r="E7846" s="2"/>
    </row>
    <row r="7847" spans="2:5" x14ac:dyDescent="0.35">
      <c r="B7847" s="1"/>
    </row>
    <row r="7848" spans="2:5" x14ac:dyDescent="0.35">
      <c r="B7848" s="1"/>
      <c r="E7848" s="2"/>
    </row>
    <row r="7849" spans="2:5" x14ac:dyDescent="0.35">
      <c r="B7849" s="1"/>
    </row>
    <row r="7850" spans="2:5" x14ac:dyDescent="0.35">
      <c r="B7850" s="1"/>
      <c r="E7850" s="2"/>
    </row>
    <row r="7851" spans="2:5" x14ac:dyDescent="0.35">
      <c r="B7851" s="1"/>
      <c r="E7851" s="2"/>
    </row>
    <row r="7852" spans="2:5" x14ac:dyDescent="0.35">
      <c r="B7852" s="1"/>
    </row>
    <row r="7853" spans="2:5" x14ac:dyDescent="0.35">
      <c r="B7853" s="1"/>
      <c r="E7853" s="2"/>
    </row>
    <row r="7854" spans="2:5" x14ac:dyDescent="0.35">
      <c r="B7854" s="1"/>
      <c r="E7854" s="2"/>
    </row>
    <row r="7855" spans="2:5" x14ac:dyDescent="0.35">
      <c r="B7855" s="1"/>
      <c r="E7855" s="2"/>
    </row>
    <row r="7856" spans="2:5" x14ac:dyDescent="0.35">
      <c r="B7856" s="1"/>
    </row>
    <row r="7857" spans="2:5" x14ac:dyDescent="0.35">
      <c r="B7857" s="1"/>
      <c r="E7857" s="2"/>
    </row>
    <row r="7858" spans="2:5" x14ac:dyDescent="0.35">
      <c r="B7858" s="1"/>
    </row>
    <row r="7859" spans="2:5" x14ac:dyDescent="0.35">
      <c r="B7859" s="1"/>
      <c r="E7859" s="2"/>
    </row>
    <row r="7860" spans="2:5" x14ac:dyDescent="0.35">
      <c r="B7860" s="1"/>
      <c r="E7860" s="2"/>
    </row>
    <row r="7861" spans="2:5" x14ac:dyDescent="0.35">
      <c r="B7861" s="1"/>
      <c r="E7861" s="2"/>
    </row>
    <row r="7862" spans="2:5" x14ac:dyDescent="0.35">
      <c r="B7862" s="1"/>
    </row>
    <row r="7863" spans="2:5" x14ac:dyDescent="0.35">
      <c r="B7863" s="1"/>
      <c r="E7863" s="2"/>
    </row>
    <row r="7864" spans="2:5" x14ac:dyDescent="0.35">
      <c r="B7864" s="1"/>
    </row>
    <row r="7865" spans="2:5" x14ac:dyDescent="0.35">
      <c r="B7865" s="1"/>
    </row>
    <row r="7866" spans="2:5" x14ac:dyDescent="0.35">
      <c r="B7866" s="1"/>
      <c r="E7866" s="2"/>
    </row>
    <row r="7867" spans="2:5" x14ac:dyDescent="0.35">
      <c r="B7867" s="1"/>
      <c r="E7867" s="2"/>
    </row>
    <row r="7868" spans="2:5" x14ac:dyDescent="0.35">
      <c r="B7868" s="1"/>
      <c r="E7868" s="2"/>
    </row>
    <row r="7869" spans="2:5" x14ac:dyDescent="0.35">
      <c r="B7869" s="1"/>
    </row>
    <row r="7870" spans="2:5" x14ac:dyDescent="0.35">
      <c r="B7870" s="1"/>
    </row>
    <row r="7871" spans="2:5" x14ac:dyDescent="0.35">
      <c r="B7871" s="1"/>
      <c r="E7871" s="2"/>
    </row>
    <row r="7872" spans="2:5" x14ac:dyDescent="0.35">
      <c r="B7872" s="1"/>
    </row>
    <row r="7873" spans="2:5" x14ac:dyDescent="0.35">
      <c r="B7873" s="1"/>
      <c r="E7873" s="2"/>
    </row>
    <row r="7874" spans="2:5" x14ac:dyDescent="0.35">
      <c r="B7874" s="1"/>
      <c r="E7874" s="2"/>
    </row>
    <row r="7875" spans="2:5" x14ac:dyDescent="0.35">
      <c r="B7875" s="1"/>
      <c r="E7875" s="2"/>
    </row>
    <row r="7876" spans="2:5" x14ac:dyDescent="0.35">
      <c r="B7876" s="1"/>
      <c r="E7876" s="2"/>
    </row>
    <row r="7877" spans="2:5" x14ac:dyDescent="0.35">
      <c r="B7877" s="1"/>
      <c r="E7877" s="2"/>
    </row>
    <row r="7878" spans="2:5" x14ac:dyDescent="0.35">
      <c r="B7878" s="1"/>
    </row>
    <row r="7879" spans="2:5" x14ac:dyDescent="0.35">
      <c r="B7879" s="1"/>
      <c r="E7879" s="2"/>
    </row>
    <row r="7880" spans="2:5" x14ac:dyDescent="0.35">
      <c r="B7880" s="1"/>
    </row>
    <row r="7881" spans="2:5" x14ac:dyDescent="0.35">
      <c r="B7881" s="1"/>
      <c r="E7881" s="2"/>
    </row>
    <row r="7882" spans="2:5" x14ac:dyDescent="0.35">
      <c r="B7882" s="1"/>
    </row>
    <row r="7883" spans="2:5" x14ac:dyDescent="0.35">
      <c r="B7883" s="1"/>
    </row>
    <row r="7884" spans="2:5" x14ac:dyDescent="0.35">
      <c r="B7884" s="1"/>
    </row>
    <row r="7885" spans="2:5" x14ac:dyDescent="0.35">
      <c r="B7885" s="1"/>
    </row>
    <row r="7886" spans="2:5" x14ac:dyDescent="0.35">
      <c r="B7886" s="1"/>
    </row>
    <row r="7887" spans="2:5" x14ac:dyDescent="0.35">
      <c r="B7887" s="1"/>
      <c r="E7887" s="2"/>
    </row>
    <row r="7888" spans="2:5" x14ac:dyDescent="0.35">
      <c r="B7888" s="1"/>
      <c r="E7888" s="2"/>
    </row>
    <row r="7889" spans="2:5" x14ac:dyDescent="0.35">
      <c r="B7889" s="1"/>
    </row>
    <row r="7890" spans="2:5" x14ac:dyDescent="0.35">
      <c r="B7890" s="1"/>
      <c r="E7890" s="2"/>
    </row>
    <row r="7891" spans="2:5" x14ac:dyDescent="0.35">
      <c r="B7891" s="1"/>
      <c r="E7891" s="2"/>
    </row>
    <row r="7892" spans="2:5" x14ac:dyDescent="0.35">
      <c r="B7892" s="1"/>
      <c r="E7892" s="2"/>
    </row>
    <row r="7893" spans="2:5" x14ac:dyDescent="0.35">
      <c r="B7893" s="1"/>
      <c r="E7893" s="2"/>
    </row>
    <row r="7894" spans="2:5" x14ac:dyDescent="0.35">
      <c r="B7894" s="1"/>
    </row>
    <row r="7895" spans="2:5" x14ac:dyDescent="0.35">
      <c r="B7895" s="1"/>
    </row>
    <row r="7896" spans="2:5" x14ac:dyDescent="0.35">
      <c r="B7896" s="1"/>
      <c r="E7896" s="2"/>
    </row>
    <row r="7897" spans="2:5" x14ac:dyDescent="0.35">
      <c r="B7897" s="1"/>
    </row>
    <row r="7898" spans="2:5" x14ac:dyDescent="0.35">
      <c r="B7898" s="1"/>
      <c r="E7898" s="2"/>
    </row>
    <row r="7899" spans="2:5" x14ac:dyDescent="0.35">
      <c r="B7899" s="1"/>
      <c r="E7899" s="2"/>
    </row>
    <row r="7900" spans="2:5" x14ac:dyDescent="0.35">
      <c r="B7900" s="1"/>
      <c r="E7900" s="2"/>
    </row>
    <row r="7901" spans="2:5" x14ac:dyDescent="0.35">
      <c r="B7901" s="1"/>
    </row>
    <row r="7902" spans="2:5" x14ac:dyDescent="0.35">
      <c r="B7902" s="1"/>
    </row>
    <row r="7903" spans="2:5" x14ac:dyDescent="0.35">
      <c r="B7903" s="1"/>
    </row>
    <row r="7904" spans="2:5" x14ac:dyDescent="0.35">
      <c r="B7904" s="1"/>
    </row>
    <row r="7905" spans="2:5" x14ac:dyDescent="0.35">
      <c r="B7905" s="1"/>
      <c r="E7905" s="2"/>
    </row>
    <row r="7906" spans="2:5" x14ac:dyDescent="0.35">
      <c r="B7906" s="1"/>
      <c r="E7906" s="2"/>
    </row>
    <row r="7907" spans="2:5" x14ac:dyDescent="0.35">
      <c r="B7907" s="1"/>
    </row>
    <row r="7908" spans="2:5" x14ac:dyDescent="0.35">
      <c r="B7908" s="1"/>
    </row>
    <row r="7909" spans="2:5" x14ac:dyDescent="0.35">
      <c r="B7909" s="1"/>
    </row>
    <row r="7910" spans="2:5" x14ac:dyDescent="0.35">
      <c r="B7910" s="1"/>
    </row>
    <row r="7911" spans="2:5" x14ac:dyDescent="0.35">
      <c r="B7911" s="1"/>
      <c r="E7911" s="2"/>
    </row>
    <row r="7912" spans="2:5" x14ac:dyDescent="0.35">
      <c r="B7912" s="1"/>
      <c r="E7912" s="2"/>
    </row>
    <row r="7913" spans="2:5" x14ac:dyDescent="0.35">
      <c r="B7913" s="1"/>
    </row>
    <row r="7914" spans="2:5" x14ac:dyDescent="0.35">
      <c r="B7914" s="1"/>
    </row>
    <row r="7915" spans="2:5" x14ac:dyDescent="0.35">
      <c r="B7915" s="1"/>
    </row>
    <row r="7916" spans="2:5" x14ac:dyDescent="0.35">
      <c r="B7916" s="1"/>
      <c r="E7916" s="2"/>
    </row>
    <row r="7917" spans="2:5" x14ac:dyDescent="0.35">
      <c r="B7917" s="1"/>
    </row>
    <row r="7918" spans="2:5" x14ac:dyDescent="0.35">
      <c r="B7918" s="1"/>
    </row>
    <row r="7919" spans="2:5" x14ac:dyDescent="0.35">
      <c r="B7919" s="1"/>
      <c r="E7919" s="2"/>
    </row>
    <row r="7920" spans="2:5" x14ac:dyDescent="0.35">
      <c r="B7920" s="1"/>
      <c r="E7920" s="2"/>
    </row>
    <row r="7921" spans="2:5" x14ac:dyDescent="0.35">
      <c r="B7921" s="1"/>
    </row>
    <row r="7922" spans="2:5" x14ac:dyDescent="0.35">
      <c r="B7922" s="1"/>
      <c r="E7922" s="2"/>
    </row>
    <row r="7923" spans="2:5" x14ac:dyDescent="0.35">
      <c r="B7923" s="1"/>
    </row>
    <row r="7924" spans="2:5" x14ac:dyDescent="0.35">
      <c r="B7924" s="1"/>
    </row>
    <row r="7925" spans="2:5" x14ac:dyDescent="0.35">
      <c r="B7925" s="1"/>
    </row>
    <row r="7926" spans="2:5" x14ac:dyDescent="0.35">
      <c r="B7926" s="1"/>
      <c r="E7926" s="2"/>
    </row>
    <row r="7927" spans="2:5" x14ac:dyDescent="0.35">
      <c r="B7927" s="1"/>
      <c r="E7927" s="2"/>
    </row>
    <row r="7928" spans="2:5" x14ac:dyDescent="0.35">
      <c r="B7928" s="1"/>
    </row>
    <row r="7929" spans="2:5" x14ac:dyDescent="0.35">
      <c r="B7929" s="1"/>
      <c r="E7929" s="2"/>
    </row>
    <row r="7930" spans="2:5" x14ac:dyDescent="0.35">
      <c r="B7930" s="1"/>
      <c r="E7930" s="2"/>
    </row>
    <row r="7931" spans="2:5" x14ac:dyDescent="0.35">
      <c r="B7931" s="1"/>
    </row>
    <row r="7932" spans="2:5" x14ac:dyDescent="0.35">
      <c r="B7932" s="1"/>
    </row>
    <row r="7933" spans="2:5" x14ac:dyDescent="0.35">
      <c r="B7933" s="1"/>
      <c r="E7933" s="2"/>
    </row>
    <row r="7934" spans="2:5" x14ac:dyDescent="0.35">
      <c r="B7934" s="1"/>
      <c r="E7934" s="2"/>
    </row>
    <row r="7935" spans="2:5" x14ac:dyDescent="0.35">
      <c r="B7935" s="1"/>
    </row>
    <row r="7936" spans="2:5" x14ac:dyDescent="0.35">
      <c r="B7936" s="1"/>
    </row>
    <row r="7937" spans="2:5" x14ac:dyDescent="0.35">
      <c r="B7937" s="1"/>
    </row>
    <row r="7938" spans="2:5" x14ac:dyDescent="0.35">
      <c r="B7938" s="1"/>
    </row>
    <row r="7939" spans="2:5" x14ac:dyDescent="0.35">
      <c r="B7939" s="1"/>
    </row>
    <row r="7940" spans="2:5" x14ac:dyDescent="0.35">
      <c r="B7940" s="1"/>
      <c r="E7940" s="2"/>
    </row>
    <row r="7941" spans="2:5" x14ac:dyDescent="0.35">
      <c r="B7941" s="1"/>
      <c r="E7941" s="2"/>
    </row>
    <row r="7942" spans="2:5" x14ac:dyDescent="0.35">
      <c r="B7942" s="1"/>
    </row>
    <row r="7943" spans="2:5" x14ac:dyDescent="0.35">
      <c r="B7943" s="1"/>
      <c r="E7943" s="2"/>
    </row>
    <row r="7944" spans="2:5" x14ac:dyDescent="0.35">
      <c r="B7944" s="1"/>
      <c r="E7944" s="2"/>
    </row>
    <row r="7945" spans="2:5" x14ac:dyDescent="0.35">
      <c r="B7945" s="1"/>
      <c r="E7945" s="2"/>
    </row>
    <row r="7946" spans="2:5" x14ac:dyDescent="0.35">
      <c r="B7946" s="1"/>
    </row>
    <row r="7947" spans="2:5" x14ac:dyDescent="0.35">
      <c r="B7947" s="1"/>
    </row>
    <row r="7948" spans="2:5" x14ac:dyDescent="0.35">
      <c r="B7948" s="1"/>
      <c r="E7948" s="2"/>
    </row>
    <row r="7949" spans="2:5" x14ac:dyDescent="0.35">
      <c r="B7949" s="1"/>
    </row>
    <row r="7950" spans="2:5" x14ac:dyDescent="0.35">
      <c r="B7950" s="1"/>
    </row>
    <row r="7951" spans="2:5" x14ac:dyDescent="0.35">
      <c r="B7951" s="1"/>
    </row>
    <row r="7952" spans="2:5" x14ac:dyDescent="0.35">
      <c r="B7952" s="1"/>
      <c r="E7952" s="2"/>
    </row>
    <row r="7953" spans="2:5" x14ac:dyDescent="0.35">
      <c r="B7953" s="1"/>
    </row>
    <row r="7954" spans="2:5" x14ac:dyDescent="0.35">
      <c r="B7954" s="1"/>
      <c r="E7954" s="2"/>
    </row>
    <row r="7955" spans="2:5" x14ac:dyDescent="0.35">
      <c r="B7955" s="1"/>
      <c r="E7955" s="2"/>
    </row>
    <row r="7956" spans="2:5" x14ac:dyDescent="0.35">
      <c r="B7956" s="1"/>
      <c r="E7956" s="2"/>
    </row>
    <row r="7957" spans="2:5" x14ac:dyDescent="0.35">
      <c r="B7957" s="1"/>
    </row>
    <row r="7958" spans="2:5" x14ac:dyDescent="0.35">
      <c r="B7958" s="1"/>
      <c r="E7958" s="2"/>
    </row>
    <row r="7959" spans="2:5" x14ac:dyDescent="0.35">
      <c r="B7959" s="1"/>
      <c r="E7959" s="2"/>
    </row>
    <row r="7960" spans="2:5" x14ac:dyDescent="0.35">
      <c r="B7960" s="1"/>
    </row>
    <row r="7961" spans="2:5" x14ac:dyDescent="0.35">
      <c r="B7961" s="1"/>
    </row>
    <row r="7962" spans="2:5" x14ac:dyDescent="0.35">
      <c r="B7962" s="1"/>
      <c r="E7962" s="2"/>
    </row>
    <row r="7963" spans="2:5" x14ac:dyDescent="0.35">
      <c r="B7963" s="1"/>
      <c r="E7963" s="2"/>
    </row>
    <row r="7964" spans="2:5" x14ac:dyDescent="0.35">
      <c r="B7964" s="1"/>
    </row>
    <row r="7965" spans="2:5" x14ac:dyDescent="0.35">
      <c r="B7965" s="1"/>
      <c r="E7965" s="2"/>
    </row>
    <row r="7966" spans="2:5" x14ac:dyDescent="0.35">
      <c r="B7966" s="1"/>
    </row>
    <row r="7967" spans="2:5" x14ac:dyDescent="0.35">
      <c r="B7967" s="1"/>
    </row>
    <row r="7968" spans="2:5" x14ac:dyDescent="0.35">
      <c r="B7968" s="1"/>
    </row>
    <row r="7969" spans="2:5" x14ac:dyDescent="0.35">
      <c r="B7969" s="1"/>
      <c r="E7969" s="2"/>
    </row>
    <row r="7970" spans="2:5" x14ac:dyDescent="0.35">
      <c r="B7970" s="1"/>
      <c r="E7970" s="2"/>
    </row>
    <row r="7971" spans="2:5" x14ac:dyDescent="0.35">
      <c r="B7971" s="1"/>
      <c r="E7971" s="2"/>
    </row>
    <row r="7972" spans="2:5" x14ac:dyDescent="0.35">
      <c r="B7972" s="1"/>
    </row>
    <row r="7973" spans="2:5" x14ac:dyDescent="0.35">
      <c r="B7973" s="1"/>
    </row>
    <row r="7974" spans="2:5" x14ac:dyDescent="0.35">
      <c r="B7974" s="1"/>
      <c r="E7974" s="2"/>
    </row>
    <row r="7975" spans="2:5" x14ac:dyDescent="0.35">
      <c r="B7975" s="1"/>
      <c r="E7975" s="2"/>
    </row>
    <row r="7976" spans="2:5" x14ac:dyDescent="0.35">
      <c r="B7976" s="1"/>
    </row>
    <row r="7977" spans="2:5" x14ac:dyDescent="0.35">
      <c r="B7977" s="1"/>
    </row>
    <row r="7978" spans="2:5" x14ac:dyDescent="0.35">
      <c r="B7978" s="1"/>
    </row>
    <row r="7979" spans="2:5" x14ac:dyDescent="0.35">
      <c r="B7979" s="1"/>
      <c r="E7979" s="2"/>
    </row>
    <row r="7980" spans="2:5" x14ac:dyDescent="0.35">
      <c r="B7980" s="1"/>
    </row>
    <row r="7981" spans="2:5" x14ac:dyDescent="0.35">
      <c r="B7981" s="1"/>
      <c r="E7981" s="2"/>
    </row>
    <row r="7982" spans="2:5" x14ac:dyDescent="0.35">
      <c r="B7982" s="1"/>
      <c r="E7982" s="2"/>
    </row>
    <row r="7983" spans="2:5" x14ac:dyDescent="0.35">
      <c r="B7983" s="1"/>
    </row>
    <row r="7984" spans="2:5" x14ac:dyDescent="0.35">
      <c r="B7984" s="1"/>
    </row>
    <row r="7985" spans="2:5" x14ac:dyDescent="0.35">
      <c r="B7985" s="1"/>
    </row>
    <row r="7986" spans="2:5" x14ac:dyDescent="0.35">
      <c r="B7986" s="1"/>
      <c r="E7986" s="2"/>
    </row>
    <row r="7987" spans="2:5" x14ac:dyDescent="0.35">
      <c r="B7987" s="1"/>
    </row>
    <row r="7988" spans="2:5" x14ac:dyDescent="0.35">
      <c r="B7988" s="1"/>
    </row>
    <row r="7989" spans="2:5" x14ac:dyDescent="0.35">
      <c r="B7989" s="1"/>
      <c r="E7989" s="2"/>
    </row>
    <row r="7990" spans="2:5" x14ac:dyDescent="0.35">
      <c r="B7990" s="1"/>
      <c r="E7990" s="2"/>
    </row>
    <row r="7991" spans="2:5" x14ac:dyDescent="0.35">
      <c r="B7991" s="1"/>
    </row>
    <row r="7992" spans="2:5" x14ac:dyDescent="0.35">
      <c r="B7992" s="1"/>
      <c r="E7992" s="2"/>
    </row>
    <row r="7993" spans="2:5" x14ac:dyDescent="0.35">
      <c r="B7993" s="1"/>
      <c r="E7993" s="2"/>
    </row>
    <row r="7994" spans="2:5" x14ac:dyDescent="0.35">
      <c r="B7994" s="1"/>
      <c r="E7994" s="2"/>
    </row>
    <row r="7995" spans="2:5" x14ac:dyDescent="0.35">
      <c r="B7995" s="1"/>
      <c r="E7995" s="2"/>
    </row>
    <row r="7996" spans="2:5" x14ac:dyDescent="0.35">
      <c r="B7996" s="1"/>
      <c r="E7996" s="2"/>
    </row>
    <row r="7997" spans="2:5" x14ac:dyDescent="0.35">
      <c r="B7997" s="1"/>
    </row>
    <row r="7998" spans="2:5" x14ac:dyDescent="0.35">
      <c r="B7998" s="1"/>
      <c r="E7998" s="2"/>
    </row>
    <row r="7999" spans="2:5" x14ac:dyDescent="0.35">
      <c r="B7999" s="1"/>
    </row>
    <row r="8000" spans="2:5" x14ac:dyDescent="0.35">
      <c r="B8000" s="1"/>
    </row>
    <row r="8001" spans="2:5" x14ac:dyDescent="0.35">
      <c r="B8001" s="1"/>
    </row>
    <row r="8002" spans="2:5" x14ac:dyDescent="0.35">
      <c r="B8002" s="1"/>
      <c r="E8002" s="2"/>
    </row>
    <row r="8003" spans="2:5" x14ac:dyDescent="0.35">
      <c r="B8003" s="1"/>
    </row>
    <row r="8004" spans="2:5" x14ac:dyDescent="0.35">
      <c r="B8004" s="1"/>
      <c r="E8004" s="2"/>
    </row>
    <row r="8005" spans="2:5" x14ac:dyDescent="0.35">
      <c r="B8005" s="1"/>
    </row>
    <row r="8006" spans="2:5" x14ac:dyDescent="0.35">
      <c r="B8006" s="1"/>
    </row>
    <row r="8007" spans="2:5" x14ac:dyDescent="0.35">
      <c r="B8007" s="1"/>
    </row>
    <row r="8008" spans="2:5" x14ac:dyDescent="0.35">
      <c r="B8008" s="1"/>
      <c r="E8008" s="2"/>
    </row>
    <row r="8009" spans="2:5" x14ac:dyDescent="0.35">
      <c r="B8009" s="1"/>
    </row>
    <row r="8010" spans="2:5" x14ac:dyDescent="0.35">
      <c r="B8010" s="1"/>
      <c r="E8010" s="2"/>
    </row>
    <row r="8011" spans="2:5" x14ac:dyDescent="0.35">
      <c r="B8011" s="1"/>
    </row>
    <row r="8012" spans="2:5" x14ac:dyDescent="0.35">
      <c r="B8012" s="1"/>
      <c r="E8012" s="2"/>
    </row>
    <row r="8013" spans="2:5" x14ac:dyDescent="0.35">
      <c r="B8013" s="1"/>
      <c r="E8013" s="2"/>
    </row>
    <row r="8014" spans="2:5" x14ac:dyDescent="0.35">
      <c r="B8014" s="1"/>
      <c r="E8014" s="2"/>
    </row>
    <row r="8015" spans="2:5" x14ac:dyDescent="0.35">
      <c r="B8015" s="1"/>
      <c r="E8015" s="2"/>
    </row>
    <row r="8016" spans="2:5" x14ac:dyDescent="0.35">
      <c r="B8016" s="1"/>
    </row>
    <row r="8017" spans="2:5" x14ac:dyDescent="0.35">
      <c r="B8017" s="1"/>
      <c r="E8017" s="2"/>
    </row>
    <row r="8018" spans="2:5" x14ac:dyDescent="0.35">
      <c r="B8018" s="1"/>
    </row>
    <row r="8019" spans="2:5" x14ac:dyDescent="0.35">
      <c r="B8019" s="1"/>
      <c r="E8019" s="2"/>
    </row>
    <row r="8020" spans="2:5" x14ac:dyDescent="0.35">
      <c r="B8020" s="1"/>
    </row>
    <row r="8021" spans="2:5" x14ac:dyDescent="0.35">
      <c r="B8021" s="1"/>
      <c r="E8021" s="2"/>
    </row>
    <row r="8022" spans="2:5" x14ac:dyDescent="0.35">
      <c r="B8022" s="1"/>
      <c r="E8022" s="2"/>
    </row>
    <row r="8023" spans="2:5" x14ac:dyDescent="0.35">
      <c r="B8023" s="1"/>
    </row>
    <row r="8024" spans="2:5" x14ac:dyDescent="0.35">
      <c r="B8024" s="1"/>
    </row>
    <row r="8025" spans="2:5" x14ac:dyDescent="0.35">
      <c r="B8025" s="1"/>
    </row>
    <row r="8026" spans="2:5" x14ac:dyDescent="0.35">
      <c r="B8026" s="1"/>
    </row>
    <row r="8027" spans="2:5" x14ac:dyDescent="0.35">
      <c r="B8027" s="1"/>
    </row>
    <row r="8028" spans="2:5" x14ac:dyDescent="0.35">
      <c r="B8028" s="1"/>
    </row>
    <row r="8029" spans="2:5" x14ac:dyDescent="0.35">
      <c r="B8029" s="1"/>
    </row>
    <row r="8030" spans="2:5" x14ac:dyDescent="0.35">
      <c r="B8030" s="1"/>
    </row>
    <row r="8031" spans="2:5" x14ac:dyDescent="0.35">
      <c r="B8031" s="1"/>
      <c r="E8031" s="2"/>
    </row>
    <row r="8032" spans="2:5" x14ac:dyDescent="0.35">
      <c r="B8032" s="1"/>
      <c r="E8032" s="2"/>
    </row>
    <row r="8033" spans="2:5" x14ac:dyDescent="0.35">
      <c r="B8033" s="1"/>
      <c r="E8033" s="2"/>
    </row>
    <row r="8034" spans="2:5" x14ac:dyDescent="0.35">
      <c r="B8034" s="1"/>
      <c r="E8034" s="2"/>
    </row>
    <row r="8035" spans="2:5" x14ac:dyDescent="0.35">
      <c r="B8035" s="1"/>
      <c r="E8035" s="2"/>
    </row>
    <row r="8036" spans="2:5" x14ac:dyDescent="0.35">
      <c r="B8036" s="1"/>
    </row>
    <row r="8037" spans="2:5" x14ac:dyDescent="0.35">
      <c r="B8037" s="1"/>
      <c r="E8037" s="2"/>
    </row>
    <row r="8038" spans="2:5" x14ac:dyDescent="0.35">
      <c r="B8038" s="1"/>
    </row>
    <row r="8039" spans="2:5" x14ac:dyDescent="0.35">
      <c r="B8039" s="1"/>
    </row>
    <row r="8040" spans="2:5" x14ac:dyDescent="0.35">
      <c r="B8040" s="1"/>
      <c r="E8040" s="2"/>
    </row>
    <row r="8041" spans="2:5" x14ac:dyDescent="0.35">
      <c r="B8041" s="1"/>
    </row>
    <row r="8042" spans="2:5" x14ac:dyDescent="0.35">
      <c r="B8042" s="1"/>
      <c r="E8042" s="2"/>
    </row>
    <row r="8043" spans="2:5" x14ac:dyDescent="0.35">
      <c r="B8043" s="1"/>
    </row>
    <row r="8044" spans="2:5" x14ac:dyDescent="0.35">
      <c r="B8044" s="1"/>
    </row>
    <row r="8045" spans="2:5" x14ac:dyDescent="0.35">
      <c r="B8045" s="1"/>
    </row>
    <row r="8046" spans="2:5" x14ac:dyDescent="0.35">
      <c r="B8046" s="1"/>
      <c r="E8046" s="2"/>
    </row>
    <row r="8047" spans="2:5" x14ac:dyDescent="0.35">
      <c r="B8047" s="1"/>
      <c r="E8047" s="2"/>
    </row>
    <row r="8048" spans="2:5" x14ac:dyDescent="0.35">
      <c r="B8048" s="1"/>
    </row>
    <row r="8049" spans="2:5" x14ac:dyDescent="0.35">
      <c r="B8049" s="1"/>
      <c r="E8049" s="2"/>
    </row>
    <row r="8050" spans="2:5" x14ac:dyDescent="0.35">
      <c r="B8050" s="1"/>
      <c r="E8050" s="2"/>
    </row>
    <row r="8051" spans="2:5" x14ac:dyDescent="0.35">
      <c r="B8051" s="1"/>
    </row>
    <row r="8052" spans="2:5" x14ac:dyDescent="0.35">
      <c r="B8052" s="1"/>
      <c r="E8052" s="2"/>
    </row>
    <row r="8053" spans="2:5" x14ac:dyDescent="0.35">
      <c r="B8053" s="1"/>
    </row>
    <row r="8054" spans="2:5" x14ac:dyDescent="0.35">
      <c r="B8054" s="1"/>
    </row>
    <row r="8055" spans="2:5" x14ac:dyDescent="0.35">
      <c r="B8055" s="1"/>
      <c r="E8055" s="2"/>
    </row>
    <row r="8056" spans="2:5" x14ac:dyDescent="0.35">
      <c r="B8056" s="1"/>
      <c r="E8056" s="2"/>
    </row>
    <row r="8057" spans="2:5" x14ac:dyDescent="0.35">
      <c r="B8057" s="1"/>
      <c r="E8057" s="2"/>
    </row>
    <row r="8058" spans="2:5" x14ac:dyDescent="0.35">
      <c r="B8058" s="1"/>
      <c r="E8058" s="2"/>
    </row>
    <row r="8059" spans="2:5" x14ac:dyDescent="0.35">
      <c r="B8059" s="1"/>
      <c r="E8059" s="2"/>
    </row>
    <row r="8060" spans="2:5" x14ac:dyDescent="0.35">
      <c r="B8060" s="1"/>
    </row>
    <row r="8061" spans="2:5" x14ac:dyDescent="0.35">
      <c r="B8061" s="1"/>
      <c r="E8061" s="2"/>
    </row>
    <row r="8062" spans="2:5" x14ac:dyDescent="0.35">
      <c r="B8062" s="1"/>
      <c r="E8062" s="2"/>
    </row>
    <row r="8063" spans="2:5" x14ac:dyDescent="0.35">
      <c r="B8063" s="1"/>
    </row>
    <row r="8064" spans="2:5" x14ac:dyDescent="0.35">
      <c r="B8064" s="1"/>
    </row>
    <row r="8065" spans="2:5" x14ac:dyDescent="0.35">
      <c r="B8065" s="1"/>
    </row>
    <row r="8066" spans="2:5" x14ac:dyDescent="0.35">
      <c r="B8066" s="1"/>
    </row>
    <row r="8067" spans="2:5" x14ac:dyDescent="0.35">
      <c r="B8067" s="1"/>
    </row>
    <row r="8068" spans="2:5" x14ac:dyDescent="0.35">
      <c r="B8068" s="1"/>
    </row>
    <row r="8069" spans="2:5" x14ac:dyDescent="0.35">
      <c r="B8069" s="1"/>
    </row>
    <row r="8070" spans="2:5" x14ac:dyDescent="0.35">
      <c r="B8070" s="1"/>
    </row>
    <row r="8071" spans="2:5" x14ac:dyDescent="0.35">
      <c r="B8071" s="1"/>
      <c r="E8071" s="2"/>
    </row>
    <row r="8072" spans="2:5" x14ac:dyDescent="0.35">
      <c r="B8072" s="1"/>
      <c r="E8072" s="2"/>
    </row>
    <row r="8073" spans="2:5" x14ac:dyDescent="0.35">
      <c r="B8073" s="1"/>
      <c r="E8073" s="2"/>
    </row>
    <row r="8074" spans="2:5" x14ac:dyDescent="0.35">
      <c r="B8074" s="1"/>
      <c r="E8074" s="2"/>
    </row>
    <row r="8075" spans="2:5" x14ac:dyDescent="0.35">
      <c r="B8075" s="1"/>
    </row>
    <row r="8076" spans="2:5" x14ac:dyDescent="0.35">
      <c r="B8076" s="1"/>
    </row>
    <row r="8077" spans="2:5" x14ac:dyDescent="0.35">
      <c r="B8077" s="1"/>
      <c r="E8077" s="2"/>
    </row>
    <row r="8078" spans="2:5" x14ac:dyDescent="0.35">
      <c r="B8078" s="1"/>
      <c r="E8078" s="2"/>
    </row>
    <row r="8079" spans="2:5" x14ac:dyDescent="0.35">
      <c r="B8079" s="1"/>
      <c r="E8079" s="2"/>
    </row>
    <row r="8080" spans="2:5" x14ac:dyDescent="0.35">
      <c r="B8080" s="1"/>
    </row>
    <row r="8081" spans="2:5" x14ac:dyDescent="0.35">
      <c r="B8081" s="1"/>
      <c r="E8081" s="2"/>
    </row>
    <row r="8082" spans="2:5" x14ac:dyDescent="0.35">
      <c r="B8082" s="1"/>
    </row>
    <row r="8083" spans="2:5" x14ac:dyDescent="0.35">
      <c r="B8083" s="1"/>
    </row>
    <row r="8084" spans="2:5" x14ac:dyDescent="0.35">
      <c r="B8084" s="1"/>
    </row>
    <row r="8085" spans="2:5" x14ac:dyDescent="0.35">
      <c r="B8085" s="1"/>
    </row>
    <row r="8086" spans="2:5" x14ac:dyDescent="0.35">
      <c r="B8086" s="1"/>
      <c r="E8086" s="2"/>
    </row>
    <row r="8087" spans="2:5" x14ac:dyDescent="0.35">
      <c r="B8087" s="1"/>
      <c r="E8087" s="2"/>
    </row>
    <row r="8088" spans="2:5" x14ac:dyDescent="0.35">
      <c r="B8088" s="1"/>
      <c r="E8088" s="2"/>
    </row>
    <row r="8089" spans="2:5" x14ac:dyDescent="0.35">
      <c r="B8089" s="1"/>
      <c r="E8089" s="2"/>
    </row>
    <row r="8090" spans="2:5" x14ac:dyDescent="0.35">
      <c r="B8090" s="1"/>
      <c r="E8090" s="2"/>
    </row>
    <row r="8091" spans="2:5" x14ac:dyDescent="0.35">
      <c r="B8091" s="1"/>
    </row>
    <row r="8092" spans="2:5" x14ac:dyDescent="0.35">
      <c r="B8092" s="1"/>
    </row>
    <row r="8093" spans="2:5" x14ac:dyDescent="0.35">
      <c r="B8093" s="1"/>
    </row>
    <row r="8094" spans="2:5" x14ac:dyDescent="0.35">
      <c r="B8094" s="1"/>
    </row>
    <row r="8095" spans="2:5" x14ac:dyDescent="0.35">
      <c r="B8095" s="1"/>
      <c r="E8095" s="2"/>
    </row>
    <row r="8096" spans="2:5" x14ac:dyDescent="0.35">
      <c r="B8096" s="1"/>
    </row>
    <row r="8097" spans="2:5" x14ac:dyDescent="0.35">
      <c r="B8097" s="1"/>
    </row>
    <row r="8098" spans="2:5" x14ac:dyDescent="0.35">
      <c r="B8098" s="1"/>
      <c r="E8098" s="2"/>
    </row>
    <row r="8099" spans="2:5" x14ac:dyDescent="0.35">
      <c r="B8099" s="1"/>
    </row>
    <row r="8100" spans="2:5" x14ac:dyDescent="0.35">
      <c r="B8100" s="1"/>
      <c r="E8100" s="2"/>
    </row>
    <row r="8101" spans="2:5" x14ac:dyDescent="0.35">
      <c r="B8101" s="1"/>
      <c r="E8101" s="2"/>
    </row>
    <row r="8102" spans="2:5" x14ac:dyDescent="0.35">
      <c r="B8102" s="1"/>
    </row>
    <row r="8103" spans="2:5" x14ac:dyDescent="0.35">
      <c r="B8103" s="1"/>
    </row>
    <row r="8104" spans="2:5" x14ac:dyDescent="0.35">
      <c r="B8104" s="1"/>
      <c r="E8104" s="2"/>
    </row>
    <row r="8105" spans="2:5" x14ac:dyDescent="0.35">
      <c r="B8105" s="1"/>
    </row>
    <row r="8106" spans="2:5" x14ac:dyDescent="0.35">
      <c r="B8106" s="1"/>
    </row>
    <row r="8107" spans="2:5" x14ac:dyDescent="0.35">
      <c r="B8107" s="1"/>
      <c r="E8107" s="2"/>
    </row>
    <row r="8108" spans="2:5" x14ac:dyDescent="0.35">
      <c r="B8108" s="1"/>
      <c r="E8108" s="2"/>
    </row>
    <row r="8109" spans="2:5" x14ac:dyDescent="0.35">
      <c r="B8109" s="1"/>
      <c r="E8109" s="2"/>
    </row>
    <row r="8110" spans="2:5" x14ac:dyDescent="0.35">
      <c r="B8110" s="1"/>
    </row>
    <row r="8111" spans="2:5" x14ac:dyDescent="0.35">
      <c r="B8111" s="1"/>
    </row>
    <row r="8112" spans="2:5" x14ac:dyDescent="0.35">
      <c r="B8112" s="1"/>
      <c r="E8112" s="2"/>
    </row>
    <row r="8113" spans="2:5" x14ac:dyDescent="0.35">
      <c r="B8113" s="1"/>
    </row>
    <row r="8114" spans="2:5" x14ac:dyDescent="0.35">
      <c r="B8114" s="1"/>
    </row>
    <row r="8115" spans="2:5" x14ac:dyDescent="0.35">
      <c r="B8115" s="1"/>
      <c r="E8115" s="2"/>
    </row>
    <row r="8116" spans="2:5" x14ac:dyDescent="0.35">
      <c r="B8116" s="1"/>
      <c r="E8116" s="2"/>
    </row>
    <row r="8117" spans="2:5" x14ac:dyDescent="0.35">
      <c r="B8117" s="1"/>
      <c r="E8117" s="2"/>
    </row>
    <row r="8118" spans="2:5" x14ac:dyDescent="0.35">
      <c r="B8118" s="1"/>
      <c r="E8118" s="2"/>
    </row>
    <row r="8119" spans="2:5" x14ac:dyDescent="0.35">
      <c r="B8119" s="1"/>
      <c r="E8119" s="2"/>
    </row>
    <row r="8120" spans="2:5" x14ac:dyDescent="0.35">
      <c r="B8120" s="1"/>
    </row>
    <row r="8121" spans="2:5" x14ac:dyDescent="0.35">
      <c r="B8121" s="1"/>
    </row>
    <row r="8122" spans="2:5" x14ac:dyDescent="0.35">
      <c r="B8122" s="1"/>
    </row>
    <row r="8123" spans="2:5" x14ac:dyDescent="0.35">
      <c r="B8123" s="1"/>
    </row>
    <row r="8124" spans="2:5" x14ac:dyDescent="0.35">
      <c r="B8124" s="1"/>
    </row>
    <row r="8125" spans="2:5" x14ac:dyDescent="0.35">
      <c r="B8125" s="1"/>
    </row>
    <row r="8126" spans="2:5" x14ac:dyDescent="0.35">
      <c r="B8126" s="1"/>
    </row>
    <row r="8127" spans="2:5" x14ac:dyDescent="0.35">
      <c r="B8127" s="1"/>
    </row>
    <row r="8128" spans="2:5" x14ac:dyDescent="0.35">
      <c r="B8128" s="1"/>
      <c r="E8128" s="2"/>
    </row>
    <row r="8129" spans="2:5" x14ac:dyDescent="0.35">
      <c r="B8129" s="1"/>
      <c r="E8129" s="2"/>
    </row>
    <row r="8130" spans="2:5" x14ac:dyDescent="0.35">
      <c r="B8130" s="1"/>
      <c r="E8130" s="2"/>
    </row>
    <row r="8131" spans="2:5" x14ac:dyDescent="0.35">
      <c r="B8131" s="1"/>
    </row>
    <row r="8132" spans="2:5" x14ac:dyDescent="0.35">
      <c r="B8132" s="1"/>
      <c r="E8132" s="2"/>
    </row>
    <row r="8133" spans="2:5" x14ac:dyDescent="0.35">
      <c r="B8133" s="1"/>
      <c r="E8133" s="2"/>
    </row>
    <row r="8134" spans="2:5" x14ac:dyDescent="0.35">
      <c r="B8134" s="1"/>
    </row>
    <row r="8135" spans="2:5" x14ac:dyDescent="0.35">
      <c r="B8135" s="1"/>
      <c r="E8135" s="2"/>
    </row>
    <row r="8136" spans="2:5" x14ac:dyDescent="0.35">
      <c r="B8136" s="1"/>
    </row>
    <row r="8137" spans="2:5" x14ac:dyDescent="0.35">
      <c r="B8137" s="1"/>
      <c r="E8137" s="2"/>
    </row>
    <row r="8138" spans="2:5" x14ac:dyDescent="0.35">
      <c r="B8138" s="1"/>
    </row>
    <row r="8139" spans="2:5" x14ac:dyDescent="0.35">
      <c r="B8139" s="1"/>
      <c r="E8139" s="2"/>
    </row>
    <row r="8140" spans="2:5" x14ac:dyDescent="0.35">
      <c r="B8140" s="1"/>
      <c r="E8140" s="2"/>
    </row>
    <row r="8141" spans="2:5" x14ac:dyDescent="0.35">
      <c r="B8141" s="1"/>
      <c r="E8141" s="2"/>
    </row>
    <row r="8142" spans="2:5" x14ac:dyDescent="0.35">
      <c r="B8142" s="1"/>
    </row>
    <row r="8143" spans="2:5" x14ac:dyDescent="0.35">
      <c r="B8143" s="1"/>
    </row>
    <row r="8144" spans="2:5" x14ac:dyDescent="0.35">
      <c r="B8144" s="1"/>
      <c r="E8144" s="2"/>
    </row>
    <row r="8145" spans="2:5" x14ac:dyDescent="0.35">
      <c r="B8145" s="1"/>
    </row>
    <row r="8146" spans="2:5" x14ac:dyDescent="0.35">
      <c r="B8146" s="1"/>
      <c r="E8146" s="2"/>
    </row>
    <row r="8147" spans="2:5" x14ac:dyDescent="0.35">
      <c r="B8147" s="1"/>
      <c r="E8147" s="2"/>
    </row>
    <row r="8148" spans="2:5" x14ac:dyDescent="0.35">
      <c r="B8148" s="1"/>
    </row>
    <row r="8149" spans="2:5" x14ac:dyDescent="0.35">
      <c r="B8149" s="1"/>
      <c r="E8149" s="2"/>
    </row>
    <row r="8150" spans="2:5" x14ac:dyDescent="0.35">
      <c r="B8150" s="1"/>
    </row>
    <row r="8151" spans="2:5" x14ac:dyDescent="0.35">
      <c r="B8151" s="1"/>
    </row>
    <row r="8152" spans="2:5" x14ac:dyDescent="0.35">
      <c r="B8152" s="1"/>
      <c r="E8152" s="2"/>
    </row>
    <row r="8153" spans="2:5" x14ac:dyDescent="0.35">
      <c r="B8153" s="1"/>
      <c r="E8153" s="2"/>
    </row>
    <row r="8154" spans="2:5" x14ac:dyDescent="0.35">
      <c r="B8154" s="1"/>
      <c r="E8154" s="2"/>
    </row>
    <row r="8155" spans="2:5" x14ac:dyDescent="0.35">
      <c r="B8155" s="1"/>
      <c r="E8155" s="2"/>
    </row>
    <row r="8156" spans="2:5" x14ac:dyDescent="0.35">
      <c r="B8156" s="1"/>
      <c r="E8156" s="2"/>
    </row>
    <row r="8157" spans="2:5" x14ac:dyDescent="0.35">
      <c r="B8157" s="1"/>
    </row>
    <row r="8158" spans="2:5" x14ac:dyDescent="0.35">
      <c r="B8158" s="1"/>
    </row>
    <row r="8159" spans="2:5" x14ac:dyDescent="0.35">
      <c r="B8159" s="1"/>
    </row>
    <row r="8160" spans="2:5" x14ac:dyDescent="0.35">
      <c r="B8160" s="1"/>
      <c r="E8160" s="2"/>
    </row>
    <row r="8161" spans="2:5" x14ac:dyDescent="0.35">
      <c r="B8161" s="1"/>
      <c r="E8161" s="2"/>
    </row>
    <row r="8162" spans="2:5" x14ac:dyDescent="0.35">
      <c r="B8162" s="1"/>
      <c r="E8162" s="2"/>
    </row>
    <row r="8163" spans="2:5" x14ac:dyDescent="0.35">
      <c r="B8163" s="1"/>
      <c r="E8163" s="2"/>
    </row>
    <row r="8164" spans="2:5" x14ac:dyDescent="0.35">
      <c r="B8164" s="1"/>
      <c r="E8164" s="2"/>
    </row>
    <row r="8165" spans="2:5" x14ac:dyDescent="0.35">
      <c r="B8165" s="1"/>
      <c r="E8165" s="2"/>
    </row>
    <row r="8166" spans="2:5" x14ac:dyDescent="0.35">
      <c r="B8166" s="1"/>
      <c r="E8166" s="2"/>
    </row>
    <row r="8167" spans="2:5" x14ac:dyDescent="0.35">
      <c r="B8167" s="1"/>
    </row>
    <row r="8168" spans="2:5" x14ac:dyDescent="0.35">
      <c r="B8168" s="1"/>
    </row>
    <row r="8169" spans="2:5" x14ac:dyDescent="0.35">
      <c r="B8169" s="1"/>
      <c r="E8169" s="2"/>
    </row>
    <row r="8170" spans="2:5" x14ac:dyDescent="0.35">
      <c r="B8170" s="1"/>
      <c r="E8170" s="2"/>
    </row>
    <row r="8171" spans="2:5" x14ac:dyDescent="0.35">
      <c r="B8171" s="1"/>
    </row>
    <row r="8172" spans="2:5" x14ac:dyDescent="0.35">
      <c r="B8172" s="1"/>
    </row>
    <row r="8173" spans="2:5" x14ac:dyDescent="0.35">
      <c r="B8173" s="1"/>
    </row>
    <row r="8174" spans="2:5" x14ac:dyDescent="0.35">
      <c r="B8174" s="1"/>
    </row>
    <row r="8175" spans="2:5" x14ac:dyDescent="0.35">
      <c r="B8175" s="1"/>
      <c r="E8175" s="2"/>
    </row>
    <row r="8176" spans="2:5" x14ac:dyDescent="0.35">
      <c r="B8176" s="1"/>
      <c r="E8176" s="2"/>
    </row>
    <row r="8177" spans="2:5" x14ac:dyDescent="0.35">
      <c r="B8177" s="1"/>
      <c r="E8177" s="2"/>
    </row>
    <row r="8178" spans="2:5" x14ac:dyDescent="0.35">
      <c r="B8178" s="1"/>
    </row>
    <row r="8179" spans="2:5" x14ac:dyDescent="0.35">
      <c r="B8179" s="1"/>
    </row>
    <row r="8180" spans="2:5" x14ac:dyDescent="0.35">
      <c r="B8180" s="1"/>
      <c r="E8180" s="2"/>
    </row>
    <row r="8181" spans="2:5" x14ac:dyDescent="0.35">
      <c r="B8181" s="1"/>
    </row>
    <row r="8182" spans="2:5" x14ac:dyDescent="0.35">
      <c r="B8182" s="1"/>
      <c r="E8182" s="2"/>
    </row>
    <row r="8183" spans="2:5" x14ac:dyDescent="0.35">
      <c r="B8183" s="1"/>
    </row>
    <row r="8184" spans="2:5" x14ac:dyDescent="0.35">
      <c r="B8184" s="1"/>
      <c r="E8184" s="2"/>
    </row>
    <row r="8185" spans="2:5" x14ac:dyDescent="0.35">
      <c r="B8185" s="1"/>
      <c r="E8185" s="2"/>
    </row>
    <row r="8186" spans="2:5" x14ac:dyDescent="0.35">
      <c r="B8186" s="1"/>
    </row>
    <row r="8187" spans="2:5" x14ac:dyDescent="0.35">
      <c r="B8187" s="1"/>
    </row>
    <row r="8188" spans="2:5" x14ac:dyDescent="0.35">
      <c r="B8188" s="1"/>
    </row>
    <row r="8189" spans="2:5" x14ac:dyDescent="0.35">
      <c r="B8189" s="1"/>
      <c r="E8189" s="2"/>
    </row>
    <row r="8190" spans="2:5" x14ac:dyDescent="0.35">
      <c r="B8190" s="1"/>
      <c r="E8190" s="2"/>
    </row>
    <row r="8191" spans="2:5" x14ac:dyDescent="0.35">
      <c r="B8191" s="1"/>
      <c r="E8191" s="2"/>
    </row>
    <row r="8192" spans="2:5" x14ac:dyDescent="0.35">
      <c r="B8192" s="1"/>
    </row>
    <row r="8193" spans="2:5" x14ac:dyDescent="0.35">
      <c r="B8193" s="1"/>
      <c r="E8193" s="2"/>
    </row>
    <row r="8194" spans="2:5" x14ac:dyDescent="0.35">
      <c r="B8194" s="1"/>
      <c r="E8194" s="2"/>
    </row>
    <row r="8195" spans="2:5" x14ac:dyDescent="0.35">
      <c r="B8195" s="1"/>
      <c r="E8195" s="2"/>
    </row>
    <row r="8196" spans="2:5" x14ac:dyDescent="0.35">
      <c r="B8196" s="1"/>
      <c r="E8196" s="2"/>
    </row>
    <row r="8197" spans="2:5" x14ac:dyDescent="0.35">
      <c r="B8197" s="1"/>
      <c r="E8197" s="2"/>
    </row>
    <row r="8198" spans="2:5" x14ac:dyDescent="0.35">
      <c r="B8198" s="1"/>
      <c r="E8198" s="2"/>
    </row>
    <row r="8199" spans="2:5" x14ac:dyDescent="0.35">
      <c r="B8199" s="1"/>
      <c r="E8199" s="2"/>
    </row>
    <row r="8200" spans="2:5" x14ac:dyDescent="0.35">
      <c r="B8200" s="1"/>
      <c r="E8200" s="2"/>
    </row>
    <row r="8201" spans="2:5" x14ac:dyDescent="0.35">
      <c r="B8201" s="1"/>
      <c r="E8201" s="2"/>
    </row>
    <row r="8202" spans="2:5" x14ac:dyDescent="0.35">
      <c r="B8202" s="1"/>
      <c r="E8202" s="2"/>
    </row>
    <row r="8203" spans="2:5" x14ac:dyDescent="0.35">
      <c r="B8203" s="1"/>
      <c r="E8203" s="2"/>
    </row>
    <row r="8204" spans="2:5" x14ac:dyDescent="0.35">
      <c r="B8204" s="1"/>
    </row>
    <row r="8205" spans="2:5" x14ac:dyDescent="0.35">
      <c r="B8205" s="1"/>
      <c r="E8205" s="2"/>
    </row>
    <row r="8206" spans="2:5" x14ac:dyDescent="0.35">
      <c r="B8206" s="1"/>
    </row>
    <row r="8207" spans="2:5" x14ac:dyDescent="0.35">
      <c r="B8207" s="1"/>
      <c r="E8207" s="2"/>
    </row>
    <row r="8208" spans="2:5" x14ac:dyDescent="0.35">
      <c r="B8208" s="1"/>
    </row>
    <row r="8209" spans="2:5" x14ac:dyDescent="0.35">
      <c r="B8209" s="1"/>
    </row>
    <row r="8210" spans="2:5" x14ac:dyDescent="0.35">
      <c r="B8210" s="1"/>
    </row>
    <row r="8211" spans="2:5" x14ac:dyDescent="0.35">
      <c r="B8211" s="1"/>
      <c r="E8211" s="2"/>
    </row>
    <row r="8212" spans="2:5" x14ac:dyDescent="0.35">
      <c r="B8212" s="1"/>
    </row>
    <row r="8213" spans="2:5" x14ac:dyDescent="0.35">
      <c r="B8213" s="1"/>
    </row>
    <row r="8214" spans="2:5" x14ac:dyDescent="0.35">
      <c r="B8214" s="1"/>
    </row>
    <row r="8215" spans="2:5" x14ac:dyDescent="0.35">
      <c r="B8215" s="1"/>
      <c r="E8215" s="2"/>
    </row>
    <row r="8216" spans="2:5" x14ac:dyDescent="0.35">
      <c r="B8216" s="1"/>
      <c r="E8216" s="2"/>
    </row>
    <row r="8217" spans="2:5" x14ac:dyDescent="0.35">
      <c r="B8217" s="1"/>
      <c r="E8217" s="2"/>
    </row>
    <row r="8218" spans="2:5" x14ac:dyDescent="0.35">
      <c r="B8218" s="1"/>
    </row>
    <row r="8219" spans="2:5" x14ac:dyDescent="0.35">
      <c r="B8219" s="1"/>
      <c r="E8219" s="2"/>
    </row>
    <row r="8220" spans="2:5" x14ac:dyDescent="0.35">
      <c r="B8220" s="1"/>
      <c r="E8220" s="2"/>
    </row>
    <row r="8221" spans="2:5" x14ac:dyDescent="0.35">
      <c r="B8221" s="1"/>
    </row>
    <row r="8222" spans="2:5" x14ac:dyDescent="0.35">
      <c r="B8222" s="1"/>
      <c r="E8222" s="2"/>
    </row>
    <row r="8223" spans="2:5" x14ac:dyDescent="0.35">
      <c r="B8223" s="1"/>
      <c r="E8223" s="2"/>
    </row>
    <row r="8224" spans="2:5" x14ac:dyDescent="0.35">
      <c r="B8224" s="1"/>
    </row>
    <row r="8225" spans="2:5" x14ac:dyDescent="0.35">
      <c r="B8225" s="1"/>
      <c r="E8225" s="2"/>
    </row>
    <row r="8226" spans="2:5" x14ac:dyDescent="0.35">
      <c r="B8226" s="1"/>
    </row>
    <row r="8227" spans="2:5" x14ac:dyDescent="0.35">
      <c r="B8227" s="1"/>
      <c r="E8227" s="2"/>
    </row>
    <row r="8228" spans="2:5" x14ac:dyDescent="0.35">
      <c r="B8228" s="1"/>
    </row>
    <row r="8229" spans="2:5" x14ac:dyDescent="0.35">
      <c r="B8229" s="1"/>
      <c r="E8229" s="2"/>
    </row>
    <row r="8230" spans="2:5" x14ac:dyDescent="0.35">
      <c r="B8230" s="1"/>
      <c r="E8230" s="2"/>
    </row>
    <row r="8231" spans="2:5" x14ac:dyDescent="0.35">
      <c r="B8231" s="1"/>
    </row>
    <row r="8232" spans="2:5" x14ac:dyDescent="0.35">
      <c r="B8232" s="1"/>
    </row>
    <row r="8233" spans="2:5" x14ac:dyDescent="0.35">
      <c r="B8233" s="1"/>
      <c r="E8233" s="2"/>
    </row>
    <row r="8234" spans="2:5" x14ac:dyDescent="0.35">
      <c r="B8234" s="1"/>
    </row>
    <row r="8235" spans="2:5" x14ac:dyDescent="0.35">
      <c r="B8235" s="1"/>
      <c r="E8235" s="2"/>
    </row>
    <row r="8236" spans="2:5" x14ac:dyDescent="0.35">
      <c r="B8236" s="1"/>
      <c r="E8236" s="2"/>
    </row>
    <row r="8237" spans="2:5" x14ac:dyDescent="0.35">
      <c r="B8237" s="1"/>
    </row>
    <row r="8238" spans="2:5" x14ac:dyDescent="0.35">
      <c r="B8238" s="1"/>
    </row>
    <row r="8239" spans="2:5" x14ac:dyDescent="0.35">
      <c r="B8239" s="1"/>
      <c r="E8239" s="2"/>
    </row>
    <row r="8240" spans="2:5" x14ac:dyDescent="0.35">
      <c r="B8240" s="1"/>
    </row>
    <row r="8241" spans="2:5" x14ac:dyDescent="0.35">
      <c r="B8241" s="1"/>
      <c r="E8241" s="2"/>
    </row>
    <row r="8242" spans="2:5" x14ac:dyDescent="0.35">
      <c r="B8242" s="1"/>
    </row>
    <row r="8243" spans="2:5" x14ac:dyDescent="0.35">
      <c r="B8243" s="1"/>
    </row>
    <row r="8244" spans="2:5" x14ac:dyDescent="0.35">
      <c r="B8244" s="1"/>
    </row>
    <row r="8245" spans="2:5" x14ac:dyDescent="0.35">
      <c r="B8245" s="1"/>
      <c r="E8245" s="2"/>
    </row>
    <row r="8246" spans="2:5" x14ac:dyDescent="0.35">
      <c r="B8246" s="1"/>
      <c r="E8246" s="2"/>
    </row>
    <row r="8247" spans="2:5" x14ac:dyDescent="0.35">
      <c r="B8247" s="1"/>
    </row>
    <row r="8248" spans="2:5" x14ac:dyDescent="0.35">
      <c r="B8248" s="1"/>
    </row>
    <row r="8249" spans="2:5" x14ac:dyDescent="0.35">
      <c r="B8249" s="1"/>
    </row>
    <row r="8250" spans="2:5" x14ac:dyDescent="0.35">
      <c r="B8250" s="1"/>
    </row>
    <row r="8251" spans="2:5" x14ac:dyDescent="0.35">
      <c r="B8251" s="1"/>
      <c r="E8251" s="2"/>
    </row>
    <row r="8252" spans="2:5" x14ac:dyDescent="0.35">
      <c r="B8252" s="1"/>
      <c r="E8252" s="2"/>
    </row>
    <row r="8253" spans="2:5" x14ac:dyDescent="0.35">
      <c r="B8253" s="1"/>
      <c r="E8253" s="2"/>
    </row>
    <row r="8254" spans="2:5" x14ac:dyDescent="0.35">
      <c r="B8254" s="1"/>
      <c r="E8254" s="2"/>
    </row>
    <row r="8255" spans="2:5" x14ac:dyDescent="0.35">
      <c r="B8255" s="1"/>
      <c r="E8255" s="2"/>
    </row>
    <row r="8256" spans="2:5" x14ac:dyDescent="0.35">
      <c r="B8256" s="1"/>
      <c r="E8256" s="2"/>
    </row>
    <row r="8257" spans="2:5" x14ac:dyDescent="0.35">
      <c r="B8257" s="1"/>
    </row>
    <row r="8258" spans="2:5" x14ac:dyDescent="0.35">
      <c r="B8258" s="1"/>
    </row>
    <row r="8259" spans="2:5" x14ac:dyDescent="0.35">
      <c r="B8259" s="1"/>
      <c r="E8259" s="2"/>
    </row>
    <row r="8260" spans="2:5" x14ac:dyDescent="0.35">
      <c r="B8260" s="1"/>
      <c r="E8260" s="2"/>
    </row>
    <row r="8261" spans="2:5" x14ac:dyDescent="0.35">
      <c r="B8261" s="1"/>
      <c r="E8261" s="2"/>
    </row>
    <row r="8262" spans="2:5" x14ac:dyDescent="0.35">
      <c r="B8262" s="1"/>
    </row>
    <row r="8263" spans="2:5" x14ac:dyDescent="0.35">
      <c r="B8263" s="1"/>
      <c r="E8263" s="2"/>
    </row>
    <row r="8264" spans="2:5" x14ac:dyDescent="0.35">
      <c r="B8264" s="1"/>
      <c r="E8264" s="2"/>
    </row>
    <row r="8265" spans="2:5" x14ac:dyDescent="0.35">
      <c r="B8265" s="1"/>
      <c r="E8265" s="2"/>
    </row>
    <row r="8266" spans="2:5" x14ac:dyDescent="0.35">
      <c r="B8266" s="1"/>
      <c r="E8266" s="2"/>
    </row>
    <row r="8267" spans="2:5" x14ac:dyDescent="0.35">
      <c r="B8267" s="1"/>
    </row>
    <row r="8268" spans="2:5" x14ac:dyDescent="0.35">
      <c r="B8268" s="1"/>
    </row>
    <row r="8269" spans="2:5" x14ac:dyDescent="0.35">
      <c r="B8269" s="1"/>
      <c r="E8269" s="2"/>
    </row>
    <row r="8270" spans="2:5" x14ac:dyDescent="0.35">
      <c r="B8270" s="1"/>
      <c r="E8270" s="2"/>
    </row>
    <row r="8271" spans="2:5" x14ac:dyDescent="0.35">
      <c r="B8271" s="1"/>
      <c r="E8271" s="2"/>
    </row>
    <row r="8272" spans="2:5" x14ac:dyDescent="0.35">
      <c r="B8272" s="1"/>
      <c r="E8272" s="2"/>
    </row>
    <row r="8273" spans="2:5" x14ac:dyDescent="0.35">
      <c r="B8273" s="1"/>
    </row>
    <row r="8274" spans="2:5" x14ac:dyDescent="0.35">
      <c r="B8274" s="1"/>
      <c r="E8274" s="2"/>
    </row>
    <row r="8275" spans="2:5" x14ac:dyDescent="0.35">
      <c r="B8275" s="1"/>
      <c r="E8275" s="2"/>
    </row>
    <row r="8276" spans="2:5" x14ac:dyDescent="0.35">
      <c r="B8276" s="1"/>
      <c r="E8276" s="2"/>
    </row>
    <row r="8277" spans="2:5" x14ac:dyDescent="0.35">
      <c r="B8277" s="1"/>
    </row>
    <row r="8278" spans="2:5" x14ac:dyDescent="0.35">
      <c r="B8278" s="1"/>
      <c r="E8278" s="2"/>
    </row>
    <row r="8279" spans="2:5" x14ac:dyDescent="0.35">
      <c r="B8279" s="1"/>
    </row>
    <row r="8280" spans="2:5" x14ac:dyDescent="0.35">
      <c r="B8280" s="1"/>
    </row>
    <row r="8281" spans="2:5" x14ac:dyDescent="0.35">
      <c r="B8281" s="1"/>
      <c r="E8281" s="2"/>
    </row>
    <row r="8282" spans="2:5" x14ac:dyDescent="0.35">
      <c r="B8282" s="1"/>
    </row>
    <row r="8283" spans="2:5" x14ac:dyDescent="0.35">
      <c r="B8283" s="1"/>
    </row>
    <row r="8284" spans="2:5" x14ac:dyDescent="0.35">
      <c r="B8284" s="1"/>
      <c r="E8284" s="2"/>
    </row>
    <row r="8285" spans="2:5" x14ac:dyDescent="0.35">
      <c r="B8285" s="1"/>
      <c r="E8285" s="2"/>
    </row>
    <row r="8286" spans="2:5" x14ac:dyDescent="0.35">
      <c r="B8286" s="1"/>
    </row>
    <row r="8287" spans="2:5" x14ac:dyDescent="0.35">
      <c r="B8287" s="1"/>
    </row>
    <row r="8288" spans="2:5" x14ac:dyDescent="0.35">
      <c r="B8288" s="1"/>
      <c r="E8288" s="2"/>
    </row>
    <row r="8289" spans="2:5" x14ac:dyDescent="0.35">
      <c r="B8289" s="1"/>
    </row>
    <row r="8290" spans="2:5" x14ac:dyDescent="0.35">
      <c r="B8290" s="1"/>
      <c r="E8290" s="2"/>
    </row>
    <row r="8291" spans="2:5" x14ac:dyDescent="0.35">
      <c r="B8291" s="1"/>
    </row>
    <row r="8292" spans="2:5" x14ac:dyDescent="0.35">
      <c r="B8292" s="1"/>
    </row>
    <row r="8293" spans="2:5" x14ac:dyDescent="0.35">
      <c r="B8293" s="1"/>
      <c r="E8293" s="2"/>
    </row>
    <row r="8294" spans="2:5" x14ac:dyDescent="0.35">
      <c r="B8294" s="1"/>
    </row>
    <row r="8295" spans="2:5" x14ac:dyDescent="0.35">
      <c r="B8295" s="1"/>
      <c r="E8295" s="2"/>
    </row>
    <row r="8296" spans="2:5" x14ac:dyDescent="0.35">
      <c r="B8296" s="1"/>
      <c r="E8296" s="2"/>
    </row>
    <row r="8297" spans="2:5" x14ac:dyDescent="0.35">
      <c r="B8297" s="1"/>
    </row>
    <row r="8298" spans="2:5" x14ac:dyDescent="0.35">
      <c r="B8298" s="1"/>
      <c r="E8298" s="2"/>
    </row>
    <row r="8299" spans="2:5" x14ac:dyDescent="0.35">
      <c r="B8299" s="1"/>
      <c r="E8299" s="2"/>
    </row>
    <row r="8300" spans="2:5" x14ac:dyDescent="0.35">
      <c r="B8300" s="1"/>
      <c r="E8300" s="2"/>
    </row>
    <row r="8301" spans="2:5" x14ac:dyDescent="0.35">
      <c r="B8301" s="1"/>
      <c r="E8301" s="2"/>
    </row>
    <row r="8302" spans="2:5" x14ac:dyDescent="0.35">
      <c r="B8302" s="1"/>
    </row>
    <row r="8303" spans="2:5" x14ac:dyDescent="0.35">
      <c r="B8303" s="1"/>
      <c r="E8303" s="2"/>
    </row>
    <row r="8304" spans="2:5" x14ac:dyDescent="0.35">
      <c r="B8304" s="1"/>
    </row>
    <row r="8305" spans="2:5" x14ac:dyDescent="0.35">
      <c r="B8305" s="1"/>
      <c r="E8305" s="2"/>
    </row>
    <row r="8306" spans="2:5" x14ac:dyDescent="0.35">
      <c r="B8306" s="1"/>
      <c r="E8306" s="2"/>
    </row>
    <row r="8307" spans="2:5" x14ac:dyDescent="0.35">
      <c r="B8307" s="1"/>
      <c r="E8307" s="2"/>
    </row>
    <row r="8308" spans="2:5" x14ac:dyDescent="0.35">
      <c r="B8308" s="1"/>
    </row>
    <row r="8309" spans="2:5" x14ac:dyDescent="0.35">
      <c r="B8309" s="1"/>
      <c r="E8309" s="2"/>
    </row>
    <row r="8310" spans="2:5" x14ac:dyDescent="0.35">
      <c r="B8310" s="1"/>
      <c r="E8310" s="2"/>
    </row>
    <row r="8311" spans="2:5" x14ac:dyDescent="0.35">
      <c r="B8311" s="1"/>
    </row>
    <row r="8312" spans="2:5" x14ac:dyDescent="0.35">
      <c r="B8312" s="1"/>
    </row>
    <row r="8313" spans="2:5" x14ac:dyDescent="0.35">
      <c r="B8313" s="1"/>
    </row>
    <row r="8314" spans="2:5" x14ac:dyDescent="0.35">
      <c r="B8314" s="1"/>
      <c r="E8314" s="2"/>
    </row>
    <row r="8315" spans="2:5" x14ac:dyDescent="0.35">
      <c r="B8315" s="1"/>
      <c r="E8315" s="2"/>
    </row>
    <row r="8316" spans="2:5" x14ac:dyDescent="0.35">
      <c r="B8316" s="1"/>
      <c r="E8316" s="2"/>
    </row>
    <row r="8317" spans="2:5" x14ac:dyDescent="0.35">
      <c r="B8317" s="1"/>
      <c r="E8317" s="2"/>
    </row>
    <row r="8318" spans="2:5" x14ac:dyDescent="0.35">
      <c r="B8318" s="1"/>
    </row>
    <row r="8319" spans="2:5" x14ac:dyDescent="0.35">
      <c r="B8319" s="1"/>
    </row>
    <row r="8320" spans="2:5" x14ac:dyDescent="0.35">
      <c r="B8320" s="1"/>
      <c r="E8320" s="2"/>
    </row>
    <row r="8321" spans="2:5" x14ac:dyDescent="0.35">
      <c r="B8321" s="1"/>
      <c r="E8321" s="2"/>
    </row>
    <row r="8322" spans="2:5" x14ac:dyDescent="0.35">
      <c r="B8322" s="1"/>
      <c r="E8322" s="2"/>
    </row>
    <row r="8323" spans="2:5" x14ac:dyDescent="0.35">
      <c r="B8323" s="1"/>
      <c r="E8323" s="2"/>
    </row>
    <row r="8324" spans="2:5" x14ac:dyDescent="0.35">
      <c r="B8324" s="1"/>
      <c r="E8324" s="2"/>
    </row>
    <row r="8325" spans="2:5" x14ac:dyDescent="0.35">
      <c r="B8325" s="1"/>
      <c r="E8325" s="2"/>
    </row>
    <row r="8326" spans="2:5" x14ac:dyDescent="0.35">
      <c r="B8326" s="1"/>
    </row>
    <row r="8327" spans="2:5" x14ac:dyDescent="0.35">
      <c r="B8327" s="1"/>
    </row>
    <row r="8328" spans="2:5" x14ac:dyDescent="0.35">
      <c r="B8328" s="1"/>
      <c r="E8328" s="2"/>
    </row>
    <row r="8329" spans="2:5" x14ac:dyDescent="0.35">
      <c r="B8329" s="1"/>
    </row>
    <row r="8330" spans="2:5" x14ac:dyDescent="0.35">
      <c r="B8330" s="1"/>
    </row>
    <row r="8331" spans="2:5" x14ac:dyDescent="0.35">
      <c r="B8331" s="1"/>
    </row>
    <row r="8332" spans="2:5" x14ac:dyDescent="0.35">
      <c r="B8332" s="1"/>
      <c r="E8332" s="2"/>
    </row>
    <row r="8333" spans="2:5" x14ac:dyDescent="0.35">
      <c r="B8333" s="1"/>
    </row>
    <row r="8334" spans="2:5" x14ac:dyDescent="0.35">
      <c r="B8334" s="1"/>
    </row>
    <row r="8335" spans="2:5" x14ac:dyDescent="0.35">
      <c r="B8335" s="1"/>
    </row>
    <row r="8336" spans="2:5" x14ac:dyDescent="0.35">
      <c r="B8336" s="1"/>
      <c r="E8336" s="2"/>
    </row>
    <row r="8337" spans="2:5" x14ac:dyDescent="0.35">
      <c r="B8337" s="1"/>
    </row>
    <row r="8338" spans="2:5" x14ac:dyDescent="0.35">
      <c r="B8338" s="1"/>
      <c r="E8338" s="2"/>
    </row>
    <row r="8339" spans="2:5" x14ac:dyDescent="0.35">
      <c r="B8339" s="1"/>
    </row>
    <row r="8340" spans="2:5" x14ac:dyDescent="0.35">
      <c r="B8340" s="1"/>
      <c r="E8340" s="2"/>
    </row>
    <row r="8341" spans="2:5" x14ac:dyDescent="0.35">
      <c r="B8341" s="1"/>
      <c r="E8341" s="2"/>
    </row>
    <row r="8342" spans="2:5" x14ac:dyDescent="0.35">
      <c r="B8342" s="1"/>
      <c r="E8342" s="2"/>
    </row>
    <row r="8343" spans="2:5" x14ac:dyDescent="0.35">
      <c r="B8343" s="1"/>
      <c r="E8343" s="2"/>
    </row>
    <row r="8344" spans="2:5" x14ac:dyDescent="0.35">
      <c r="B8344" s="1"/>
    </row>
    <row r="8345" spans="2:5" x14ac:dyDescent="0.35">
      <c r="B8345" s="1"/>
      <c r="E8345" s="2"/>
    </row>
    <row r="8346" spans="2:5" x14ac:dyDescent="0.35">
      <c r="B8346" s="1"/>
    </row>
    <row r="8347" spans="2:5" x14ac:dyDescent="0.35">
      <c r="B8347" s="1"/>
      <c r="E8347" s="2"/>
    </row>
    <row r="8348" spans="2:5" x14ac:dyDescent="0.35">
      <c r="B8348" s="1"/>
    </row>
    <row r="8349" spans="2:5" x14ac:dyDescent="0.35">
      <c r="B8349" s="1"/>
      <c r="E8349" s="2"/>
    </row>
    <row r="8350" spans="2:5" x14ac:dyDescent="0.35">
      <c r="B8350" s="1"/>
      <c r="E8350" s="2"/>
    </row>
    <row r="8351" spans="2:5" x14ac:dyDescent="0.35">
      <c r="B8351" s="1"/>
    </row>
    <row r="8352" spans="2:5" x14ac:dyDescent="0.35">
      <c r="B8352" s="1"/>
      <c r="E8352" s="2"/>
    </row>
    <row r="8353" spans="2:5" x14ac:dyDescent="0.35">
      <c r="B8353" s="1"/>
      <c r="E8353" s="2"/>
    </row>
    <row r="8354" spans="2:5" x14ac:dyDescent="0.35">
      <c r="B8354" s="1"/>
      <c r="E8354" s="2"/>
    </row>
    <row r="8355" spans="2:5" x14ac:dyDescent="0.35">
      <c r="B8355" s="1"/>
      <c r="E8355" s="2"/>
    </row>
    <row r="8356" spans="2:5" x14ac:dyDescent="0.35">
      <c r="B8356" s="1"/>
      <c r="E8356" s="2"/>
    </row>
    <row r="8357" spans="2:5" x14ac:dyDescent="0.35">
      <c r="B8357" s="1"/>
    </row>
    <row r="8358" spans="2:5" x14ac:dyDescent="0.35">
      <c r="B8358" s="1"/>
    </row>
    <row r="8359" spans="2:5" x14ac:dyDescent="0.35">
      <c r="B8359" s="1"/>
      <c r="E8359" s="2"/>
    </row>
    <row r="8360" spans="2:5" x14ac:dyDescent="0.35">
      <c r="B8360" s="1"/>
    </row>
    <row r="8361" spans="2:5" x14ac:dyDescent="0.35">
      <c r="B8361" s="1"/>
      <c r="E8361" s="2"/>
    </row>
    <row r="8362" spans="2:5" x14ac:dyDescent="0.35">
      <c r="B8362" s="1"/>
      <c r="E8362" s="2"/>
    </row>
    <row r="8363" spans="2:5" x14ac:dyDescent="0.35">
      <c r="B8363" s="1"/>
    </row>
    <row r="8364" spans="2:5" x14ac:dyDescent="0.35">
      <c r="B8364" s="1"/>
      <c r="E8364" s="2"/>
    </row>
    <row r="8365" spans="2:5" x14ac:dyDescent="0.35">
      <c r="B8365" s="1"/>
    </row>
    <row r="8366" spans="2:5" x14ac:dyDescent="0.35">
      <c r="B8366" s="1"/>
    </row>
    <row r="8367" spans="2:5" x14ac:dyDescent="0.35">
      <c r="B8367" s="1"/>
      <c r="E8367" s="2"/>
    </row>
    <row r="8368" spans="2:5" x14ac:dyDescent="0.35">
      <c r="B8368" s="1"/>
      <c r="E8368" s="2"/>
    </row>
    <row r="8369" spans="2:5" x14ac:dyDescent="0.35">
      <c r="B8369" s="1"/>
    </row>
    <row r="8370" spans="2:5" x14ac:dyDescent="0.35">
      <c r="B8370" s="1"/>
      <c r="E8370" s="2"/>
    </row>
    <row r="8371" spans="2:5" x14ac:dyDescent="0.35">
      <c r="B8371" s="1"/>
      <c r="E8371" s="2"/>
    </row>
    <row r="8372" spans="2:5" x14ac:dyDescent="0.35">
      <c r="B8372" s="1"/>
    </row>
    <row r="8373" spans="2:5" x14ac:dyDescent="0.35">
      <c r="B8373" s="1"/>
    </row>
    <row r="8374" spans="2:5" x14ac:dyDescent="0.35">
      <c r="B8374" s="1"/>
      <c r="E8374" s="2"/>
    </row>
    <row r="8375" spans="2:5" x14ac:dyDescent="0.35">
      <c r="B8375" s="1"/>
    </row>
    <row r="8376" spans="2:5" x14ac:dyDescent="0.35">
      <c r="B8376" s="1"/>
    </row>
    <row r="8377" spans="2:5" x14ac:dyDescent="0.35">
      <c r="B8377" s="1"/>
      <c r="E8377" s="2"/>
    </row>
    <row r="8378" spans="2:5" x14ac:dyDescent="0.35">
      <c r="B8378" s="1"/>
      <c r="E8378" s="2"/>
    </row>
    <row r="8379" spans="2:5" x14ac:dyDescent="0.35">
      <c r="B8379" s="1"/>
      <c r="E8379" s="2"/>
    </row>
    <row r="8380" spans="2:5" x14ac:dyDescent="0.35">
      <c r="B8380" s="1"/>
      <c r="E8380" s="2"/>
    </row>
    <row r="8381" spans="2:5" x14ac:dyDescent="0.35">
      <c r="B8381" s="1"/>
      <c r="E8381" s="2"/>
    </row>
    <row r="8382" spans="2:5" x14ac:dyDescent="0.35">
      <c r="B8382" s="1"/>
    </row>
    <row r="8383" spans="2:5" x14ac:dyDescent="0.35">
      <c r="B8383" s="1"/>
      <c r="E8383" s="2"/>
    </row>
    <row r="8384" spans="2:5" x14ac:dyDescent="0.35">
      <c r="B8384" s="1"/>
      <c r="E8384" s="2"/>
    </row>
    <row r="8385" spans="2:5" x14ac:dyDescent="0.35">
      <c r="B8385" s="1"/>
    </row>
    <row r="8386" spans="2:5" x14ac:dyDescent="0.35">
      <c r="B8386" s="1"/>
    </row>
    <row r="8387" spans="2:5" x14ac:dyDescent="0.35">
      <c r="B8387" s="1"/>
      <c r="E8387" s="2"/>
    </row>
    <row r="8388" spans="2:5" x14ac:dyDescent="0.35">
      <c r="B8388" s="1"/>
    </row>
    <row r="8389" spans="2:5" x14ac:dyDescent="0.35">
      <c r="B8389" s="1"/>
      <c r="E8389" s="2"/>
    </row>
    <row r="8390" spans="2:5" x14ac:dyDescent="0.35">
      <c r="B8390" s="1"/>
    </row>
    <row r="8391" spans="2:5" x14ac:dyDescent="0.35">
      <c r="B8391" s="1"/>
      <c r="E8391" s="2"/>
    </row>
    <row r="8392" spans="2:5" x14ac:dyDescent="0.35">
      <c r="B8392" s="1"/>
    </row>
    <row r="8393" spans="2:5" x14ac:dyDescent="0.35">
      <c r="B8393" s="1"/>
      <c r="E8393" s="2"/>
    </row>
    <row r="8394" spans="2:5" x14ac:dyDescent="0.35">
      <c r="B8394" s="1"/>
    </row>
    <row r="8395" spans="2:5" x14ac:dyDescent="0.35">
      <c r="B8395" s="1"/>
    </row>
    <row r="8396" spans="2:5" x14ac:dyDescent="0.35">
      <c r="B8396" s="1"/>
    </row>
    <row r="8397" spans="2:5" x14ac:dyDescent="0.35">
      <c r="B8397" s="1"/>
      <c r="E8397" s="2"/>
    </row>
    <row r="8398" spans="2:5" x14ac:dyDescent="0.35">
      <c r="B8398" s="1"/>
    </row>
    <row r="8399" spans="2:5" x14ac:dyDescent="0.35">
      <c r="B8399" s="1"/>
      <c r="E8399" s="2"/>
    </row>
    <row r="8400" spans="2:5" x14ac:dyDescent="0.35">
      <c r="B8400" s="1"/>
    </row>
    <row r="8401" spans="2:5" x14ac:dyDescent="0.35">
      <c r="B8401" s="1"/>
      <c r="E8401" s="2"/>
    </row>
    <row r="8402" spans="2:5" x14ac:dyDescent="0.35">
      <c r="B8402" s="1"/>
      <c r="E8402" s="2"/>
    </row>
    <row r="8403" spans="2:5" x14ac:dyDescent="0.35">
      <c r="B8403" s="1"/>
    </row>
    <row r="8404" spans="2:5" x14ac:dyDescent="0.35">
      <c r="B8404" s="1"/>
      <c r="E8404" s="2"/>
    </row>
    <row r="8405" spans="2:5" x14ac:dyDescent="0.35">
      <c r="B8405" s="1"/>
      <c r="E8405" s="2"/>
    </row>
    <row r="8406" spans="2:5" x14ac:dyDescent="0.35">
      <c r="B8406" s="1"/>
    </row>
    <row r="8407" spans="2:5" x14ac:dyDescent="0.35">
      <c r="B8407" s="1"/>
    </row>
    <row r="8408" spans="2:5" x14ac:dyDescent="0.35">
      <c r="B8408" s="1"/>
      <c r="E8408" s="2"/>
    </row>
    <row r="8409" spans="2:5" x14ac:dyDescent="0.35">
      <c r="B8409" s="1"/>
    </row>
    <row r="8410" spans="2:5" x14ac:dyDescent="0.35">
      <c r="B8410" s="1"/>
    </row>
    <row r="8411" spans="2:5" x14ac:dyDescent="0.35">
      <c r="B8411" s="1"/>
    </row>
    <row r="8412" spans="2:5" x14ac:dyDescent="0.35">
      <c r="B8412" s="1"/>
      <c r="E8412" s="2"/>
    </row>
    <row r="8413" spans="2:5" x14ac:dyDescent="0.35">
      <c r="B8413" s="1"/>
      <c r="E8413" s="2"/>
    </row>
    <row r="8414" spans="2:5" x14ac:dyDescent="0.35">
      <c r="B8414" s="1"/>
    </row>
    <row r="8415" spans="2:5" x14ac:dyDescent="0.35">
      <c r="B8415" s="1"/>
      <c r="E8415" s="2"/>
    </row>
    <row r="8416" spans="2:5" x14ac:dyDescent="0.35">
      <c r="B8416" s="1"/>
    </row>
    <row r="8417" spans="2:5" x14ac:dyDescent="0.35">
      <c r="B8417" s="1"/>
      <c r="E8417" s="2"/>
    </row>
    <row r="8418" spans="2:5" x14ac:dyDescent="0.35">
      <c r="B8418" s="1"/>
      <c r="E8418" s="2"/>
    </row>
    <row r="8419" spans="2:5" x14ac:dyDescent="0.35">
      <c r="B8419" s="1"/>
      <c r="E8419" s="2"/>
    </row>
    <row r="8420" spans="2:5" x14ac:dyDescent="0.35">
      <c r="B8420" s="1"/>
      <c r="E8420" s="2"/>
    </row>
    <row r="8421" spans="2:5" x14ac:dyDescent="0.35">
      <c r="B8421" s="1"/>
      <c r="E8421" s="2"/>
    </row>
    <row r="8422" spans="2:5" x14ac:dyDescent="0.35">
      <c r="B8422" s="1"/>
      <c r="E8422" s="2"/>
    </row>
    <row r="8423" spans="2:5" x14ac:dyDescent="0.35">
      <c r="B8423" s="1"/>
      <c r="E8423" s="2"/>
    </row>
    <row r="8424" spans="2:5" x14ac:dyDescent="0.35">
      <c r="B8424" s="1"/>
    </row>
    <row r="8425" spans="2:5" x14ac:dyDescent="0.35">
      <c r="B8425" s="1"/>
      <c r="E8425" s="2"/>
    </row>
    <row r="8426" spans="2:5" x14ac:dyDescent="0.35">
      <c r="B8426" s="1"/>
    </row>
    <row r="8427" spans="2:5" x14ac:dyDescent="0.35">
      <c r="B8427" s="1"/>
      <c r="E8427" s="2"/>
    </row>
    <row r="8428" spans="2:5" x14ac:dyDescent="0.35">
      <c r="B8428" s="1"/>
      <c r="E8428" s="2"/>
    </row>
    <row r="8429" spans="2:5" x14ac:dyDescent="0.35">
      <c r="B8429" s="1"/>
    </row>
    <row r="8430" spans="2:5" x14ac:dyDescent="0.35">
      <c r="B8430" s="1"/>
      <c r="E8430" s="2"/>
    </row>
    <row r="8431" spans="2:5" x14ac:dyDescent="0.35">
      <c r="B8431" s="1"/>
    </row>
    <row r="8432" spans="2:5" x14ac:dyDescent="0.35">
      <c r="B8432" s="1"/>
      <c r="E8432" s="2"/>
    </row>
    <row r="8433" spans="2:5" x14ac:dyDescent="0.35">
      <c r="B8433" s="1"/>
    </row>
    <row r="8434" spans="2:5" x14ac:dyDescent="0.35">
      <c r="B8434" s="1"/>
      <c r="E8434" s="2"/>
    </row>
    <row r="8435" spans="2:5" x14ac:dyDescent="0.35">
      <c r="B8435" s="1"/>
      <c r="E8435" s="2"/>
    </row>
    <row r="8436" spans="2:5" x14ac:dyDescent="0.35">
      <c r="B8436" s="1"/>
      <c r="E8436" s="2"/>
    </row>
    <row r="8437" spans="2:5" x14ac:dyDescent="0.35">
      <c r="B8437" s="1"/>
      <c r="E8437" s="2"/>
    </row>
    <row r="8438" spans="2:5" x14ac:dyDescent="0.35">
      <c r="B8438" s="1"/>
      <c r="E8438" s="2"/>
    </row>
    <row r="8439" spans="2:5" x14ac:dyDescent="0.35">
      <c r="B8439" s="1"/>
      <c r="E8439" s="2"/>
    </row>
    <row r="8440" spans="2:5" x14ac:dyDescent="0.35">
      <c r="B8440" s="1"/>
      <c r="E8440" s="2"/>
    </row>
    <row r="8441" spans="2:5" x14ac:dyDescent="0.35">
      <c r="B8441" s="1"/>
      <c r="E8441" s="2"/>
    </row>
    <row r="8442" spans="2:5" x14ac:dyDescent="0.35">
      <c r="B8442" s="1"/>
      <c r="E8442" s="2"/>
    </row>
    <row r="8443" spans="2:5" x14ac:dyDescent="0.35">
      <c r="B8443" s="1"/>
      <c r="E8443" s="2"/>
    </row>
    <row r="8444" spans="2:5" x14ac:dyDescent="0.35">
      <c r="B8444" s="1"/>
      <c r="E8444" s="2"/>
    </row>
    <row r="8445" spans="2:5" x14ac:dyDescent="0.35">
      <c r="B8445" s="1"/>
    </row>
    <row r="8446" spans="2:5" x14ac:dyDescent="0.35">
      <c r="B8446" s="1"/>
    </row>
    <row r="8447" spans="2:5" x14ac:dyDescent="0.35">
      <c r="B8447" s="1"/>
      <c r="E8447" s="2"/>
    </row>
    <row r="8448" spans="2:5" x14ac:dyDescent="0.35">
      <c r="B8448" s="1"/>
    </row>
    <row r="8449" spans="2:5" x14ac:dyDescent="0.35">
      <c r="B8449" s="1"/>
      <c r="E8449" s="2"/>
    </row>
    <row r="8450" spans="2:5" x14ac:dyDescent="0.35">
      <c r="B8450" s="1"/>
      <c r="E8450" s="2"/>
    </row>
    <row r="8451" spans="2:5" x14ac:dyDescent="0.35">
      <c r="B8451" s="1"/>
      <c r="E8451" s="2"/>
    </row>
    <row r="8452" spans="2:5" x14ac:dyDescent="0.35">
      <c r="B8452" s="1"/>
    </row>
    <row r="8453" spans="2:5" x14ac:dyDescent="0.35">
      <c r="B8453" s="1"/>
      <c r="E8453" s="2"/>
    </row>
    <row r="8454" spans="2:5" x14ac:dyDescent="0.35">
      <c r="B8454" s="1"/>
    </row>
    <row r="8455" spans="2:5" x14ac:dyDescent="0.35">
      <c r="B8455" s="1"/>
    </row>
    <row r="8456" spans="2:5" x14ac:dyDescent="0.35">
      <c r="B8456" s="1"/>
    </row>
    <row r="8457" spans="2:5" x14ac:dyDescent="0.35">
      <c r="B8457" s="1"/>
      <c r="E8457" s="2"/>
    </row>
    <row r="8458" spans="2:5" x14ac:dyDescent="0.35">
      <c r="B8458" s="1"/>
      <c r="E8458" s="2"/>
    </row>
    <row r="8459" spans="2:5" x14ac:dyDescent="0.35">
      <c r="B8459" s="1"/>
    </row>
    <row r="8460" spans="2:5" x14ac:dyDescent="0.35">
      <c r="B8460" s="1"/>
    </row>
    <row r="8461" spans="2:5" x14ac:dyDescent="0.35">
      <c r="B8461" s="1"/>
      <c r="E8461" s="2"/>
    </row>
    <row r="8462" spans="2:5" x14ac:dyDescent="0.35">
      <c r="B8462" s="1"/>
    </row>
    <row r="8463" spans="2:5" x14ac:dyDescent="0.35">
      <c r="B8463" s="1"/>
    </row>
    <row r="8464" spans="2:5" x14ac:dyDescent="0.35">
      <c r="B8464" s="1"/>
      <c r="E8464" s="2"/>
    </row>
    <row r="8465" spans="2:5" x14ac:dyDescent="0.35">
      <c r="B8465" s="1"/>
    </row>
    <row r="8466" spans="2:5" x14ac:dyDescent="0.35">
      <c r="B8466" s="1"/>
    </row>
    <row r="8467" spans="2:5" x14ac:dyDescent="0.35">
      <c r="B8467" s="1"/>
      <c r="E8467" s="2"/>
    </row>
    <row r="8468" spans="2:5" x14ac:dyDescent="0.35">
      <c r="B8468" s="1"/>
      <c r="E8468" s="2"/>
    </row>
    <row r="8469" spans="2:5" x14ac:dyDescent="0.35">
      <c r="B8469" s="1"/>
      <c r="E8469" s="2"/>
    </row>
    <row r="8470" spans="2:5" x14ac:dyDescent="0.35">
      <c r="B8470" s="1"/>
      <c r="E8470" s="2"/>
    </row>
    <row r="8471" spans="2:5" x14ac:dyDescent="0.35">
      <c r="B8471" s="1"/>
      <c r="E8471" s="2"/>
    </row>
    <row r="8472" spans="2:5" x14ac:dyDescent="0.35">
      <c r="B8472" s="1"/>
      <c r="E8472" s="2"/>
    </row>
    <row r="8473" spans="2:5" x14ac:dyDescent="0.35">
      <c r="B8473" s="1"/>
    </row>
    <row r="8474" spans="2:5" x14ac:dyDescent="0.35">
      <c r="B8474" s="1"/>
      <c r="E8474" s="2"/>
    </row>
    <row r="8475" spans="2:5" x14ac:dyDescent="0.35">
      <c r="B8475" s="1"/>
      <c r="E8475" s="2"/>
    </row>
    <row r="8476" spans="2:5" x14ac:dyDescent="0.35">
      <c r="B8476" s="1"/>
      <c r="E8476" s="2"/>
    </row>
    <row r="8477" spans="2:5" x14ac:dyDescent="0.35">
      <c r="B8477" s="1"/>
      <c r="E8477" s="2"/>
    </row>
    <row r="8478" spans="2:5" x14ac:dyDescent="0.35">
      <c r="B8478" s="1"/>
      <c r="E8478" s="2"/>
    </row>
    <row r="8479" spans="2:5" x14ac:dyDescent="0.35">
      <c r="B8479" s="1"/>
    </row>
    <row r="8480" spans="2:5" x14ac:dyDescent="0.35">
      <c r="B8480" s="1"/>
      <c r="E8480" s="2"/>
    </row>
    <row r="8481" spans="2:5" x14ac:dyDescent="0.35">
      <c r="B8481" s="1"/>
    </row>
    <row r="8482" spans="2:5" x14ac:dyDescent="0.35">
      <c r="B8482" s="1"/>
    </row>
    <row r="8483" spans="2:5" x14ac:dyDescent="0.35">
      <c r="B8483" s="1"/>
    </row>
    <row r="8484" spans="2:5" x14ac:dyDescent="0.35">
      <c r="B8484" s="1"/>
      <c r="E8484" s="2"/>
    </row>
    <row r="8485" spans="2:5" x14ac:dyDescent="0.35">
      <c r="B8485" s="1"/>
    </row>
    <row r="8486" spans="2:5" x14ac:dyDescent="0.35">
      <c r="B8486" s="1"/>
    </row>
    <row r="8487" spans="2:5" x14ac:dyDescent="0.35">
      <c r="B8487" s="1"/>
      <c r="E8487" s="2"/>
    </row>
    <row r="8488" spans="2:5" x14ac:dyDescent="0.35">
      <c r="B8488" s="1"/>
      <c r="E8488" s="2"/>
    </row>
    <row r="8489" spans="2:5" x14ac:dyDescent="0.35">
      <c r="B8489" s="1"/>
    </row>
    <row r="8490" spans="2:5" x14ac:dyDescent="0.35">
      <c r="B8490" s="1"/>
      <c r="E8490" s="2"/>
    </row>
    <row r="8491" spans="2:5" x14ac:dyDescent="0.35">
      <c r="B8491" s="1"/>
      <c r="E8491" s="2"/>
    </row>
    <row r="8492" spans="2:5" x14ac:dyDescent="0.35">
      <c r="B8492" s="1"/>
      <c r="E8492" s="2"/>
    </row>
    <row r="8493" spans="2:5" x14ac:dyDescent="0.35">
      <c r="B8493" s="1"/>
    </row>
    <row r="8494" spans="2:5" x14ac:dyDescent="0.35">
      <c r="B8494" s="1"/>
    </row>
    <row r="8495" spans="2:5" x14ac:dyDescent="0.35">
      <c r="B8495" s="1"/>
      <c r="E8495" s="2"/>
    </row>
    <row r="8496" spans="2:5" x14ac:dyDescent="0.35">
      <c r="B8496" s="1"/>
      <c r="E8496" s="2"/>
    </row>
    <row r="8497" spans="2:5" x14ac:dyDescent="0.35">
      <c r="B8497" s="1"/>
      <c r="E8497" s="2"/>
    </row>
    <row r="8498" spans="2:5" x14ac:dyDescent="0.35">
      <c r="B8498" s="1"/>
      <c r="E8498" s="2"/>
    </row>
    <row r="8499" spans="2:5" x14ac:dyDescent="0.35">
      <c r="B8499" s="1"/>
      <c r="E8499" s="2"/>
    </row>
    <row r="8500" spans="2:5" x14ac:dyDescent="0.35">
      <c r="B8500" s="1"/>
      <c r="E8500" s="2"/>
    </row>
    <row r="8501" spans="2:5" x14ac:dyDescent="0.35">
      <c r="B8501" s="1"/>
      <c r="E8501" s="2"/>
    </row>
    <row r="8502" spans="2:5" x14ac:dyDescent="0.35">
      <c r="B8502" s="1"/>
      <c r="E8502" s="2"/>
    </row>
    <row r="8503" spans="2:5" x14ac:dyDescent="0.35">
      <c r="B8503" s="1"/>
      <c r="E8503" s="2"/>
    </row>
    <row r="8504" spans="2:5" x14ac:dyDescent="0.35">
      <c r="B8504" s="1"/>
      <c r="E8504" s="2"/>
    </row>
    <row r="8505" spans="2:5" x14ac:dyDescent="0.35">
      <c r="B8505" s="1"/>
    </row>
    <row r="8506" spans="2:5" x14ac:dyDescent="0.35">
      <c r="B8506" s="1"/>
      <c r="E8506" s="2"/>
    </row>
    <row r="8507" spans="2:5" x14ac:dyDescent="0.35">
      <c r="B8507" s="1"/>
      <c r="E8507" s="2"/>
    </row>
    <row r="8508" spans="2:5" x14ac:dyDescent="0.35">
      <c r="B8508" s="1"/>
      <c r="E8508" s="2"/>
    </row>
    <row r="8509" spans="2:5" x14ac:dyDescent="0.35">
      <c r="B8509" s="1"/>
    </row>
    <row r="8510" spans="2:5" x14ac:dyDescent="0.35">
      <c r="B8510" s="1"/>
    </row>
    <row r="8511" spans="2:5" x14ac:dyDescent="0.35">
      <c r="B8511" s="1"/>
    </row>
    <row r="8512" spans="2:5" x14ac:dyDescent="0.35">
      <c r="B8512" s="1"/>
      <c r="E8512" s="2"/>
    </row>
    <row r="8513" spans="2:5" x14ac:dyDescent="0.35">
      <c r="B8513" s="1"/>
      <c r="E8513" s="2"/>
    </row>
    <row r="8514" spans="2:5" x14ac:dyDescent="0.35">
      <c r="B8514" s="1"/>
      <c r="E8514" s="2"/>
    </row>
    <row r="8515" spans="2:5" x14ac:dyDescent="0.35">
      <c r="B8515" s="1"/>
      <c r="E8515" s="2"/>
    </row>
    <row r="8516" spans="2:5" x14ac:dyDescent="0.35">
      <c r="B8516" s="1"/>
    </row>
    <row r="8517" spans="2:5" x14ac:dyDescent="0.35">
      <c r="B8517" s="1"/>
      <c r="E8517" s="2"/>
    </row>
    <row r="8518" spans="2:5" x14ac:dyDescent="0.35">
      <c r="B8518" s="1"/>
    </row>
    <row r="8519" spans="2:5" x14ac:dyDescent="0.35">
      <c r="B8519" s="1"/>
    </row>
    <row r="8520" spans="2:5" x14ac:dyDescent="0.35">
      <c r="B8520" s="1"/>
      <c r="E8520" s="2"/>
    </row>
    <row r="8521" spans="2:5" x14ac:dyDescent="0.35">
      <c r="B8521" s="1"/>
    </row>
    <row r="8522" spans="2:5" x14ac:dyDescent="0.35">
      <c r="B8522" s="1"/>
    </row>
    <row r="8523" spans="2:5" x14ac:dyDescent="0.35">
      <c r="B8523" s="1"/>
      <c r="E8523" s="2"/>
    </row>
    <row r="8524" spans="2:5" x14ac:dyDescent="0.35">
      <c r="B8524" s="1"/>
      <c r="E8524" s="2"/>
    </row>
    <row r="8525" spans="2:5" x14ac:dyDescent="0.35">
      <c r="B8525" s="1"/>
      <c r="E8525" s="2"/>
    </row>
    <row r="8526" spans="2:5" x14ac:dyDescent="0.35">
      <c r="B8526" s="1"/>
      <c r="E8526" s="2"/>
    </row>
    <row r="8527" spans="2:5" x14ac:dyDescent="0.35">
      <c r="B8527" s="1"/>
    </row>
    <row r="8528" spans="2:5" x14ac:dyDescent="0.35">
      <c r="B8528" s="1"/>
    </row>
    <row r="8529" spans="2:5" x14ac:dyDescent="0.35">
      <c r="B8529" s="1"/>
      <c r="E8529" s="2"/>
    </row>
    <row r="8530" spans="2:5" x14ac:dyDescent="0.35">
      <c r="B8530" s="1"/>
      <c r="E8530" s="2"/>
    </row>
    <row r="8531" spans="2:5" x14ac:dyDescent="0.35">
      <c r="B8531" s="1"/>
    </row>
    <row r="8532" spans="2:5" x14ac:dyDescent="0.35">
      <c r="B8532" s="1"/>
      <c r="E8532" s="2"/>
    </row>
    <row r="8533" spans="2:5" x14ac:dyDescent="0.35">
      <c r="B8533" s="1"/>
      <c r="E8533" s="2"/>
    </row>
    <row r="8534" spans="2:5" x14ac:dyDescent="0.35">
      <c r="B8534" s="1"/>
    </row>
    <row r="8535" spans="2:5" x14ac:dyDescent="0.35">
      <c r="B8535" s="1"/>
      <c r="E8535" s="2"/>
    </row>
    <row r="8536" spans="2:5" x14ac:dyDescent="0.35">
      <c r="B8536" s="1"/>
    </row>
    <row r="8537" spans="2:5" x14ac:dyDescent="0.35">
      <c r="B8537" s="1"/>
    </row>
    <row r="8538" spans="2:5" x14ac:dyDescent="0.35">
      <c r="B8538" s="1"/>
    </row>
    <row r="8539" spans="2:5" x14ac:dyDescent="0.35">
      <c r="B8539" s="1"/>
      <c r="E8539" s="2"/>
    </row>
    <row r="8540" spans="2:5" x14ac:dyDescent="0.35">
      <c r="B8540" s="1"/>
      <c r="E8540" s="2"/>
    </row>
    <row r="8541" spans="2:5" x14ac:dyDescent="0.35">
      <c r="B8541" s="1"/>
    </row>
    <row r="8542" spans="2:5" x14ac:dyDescent="0.35">
      <c r="B8542" s="1"/>
      <c r="E8542" s="2"/>
    </row>
    <row r="8543" spans="2:5" x14ac:dyDescent="0.35">
      <c r="B8543" s="1"/>
    </row>
    <row r="8544" spans="2:5" x14ac:dyDescent="0.35">
      <c r="B8544" s="1"/>
      <c r="E8544" s="2"/>
    </row>
    <row r="8545" spans="2:5" x14ac:dyDescent="0.35">
      <c r="B8545" s="1"/>
    </row>
    <row r="8546" spans="2:5" x14ac:dyDescent="0.35">
      <c r="B8546" s="1"/>
      <c r="E8546" s="2"/>
    </row>
    <row r="8547" spans="2:5" x14ac:dyDescent="0.35">
      <c r="B8547" s="1"/>
      <c r="E8547" s="2"/>
    </row>
    <row r="8548" spans="2:5" x14ac:dyDescent="0.35">
      <c r="B8548" s="1"/>
    </row>
    <row r="8549" spans="2:5" x14ac:dyDescent="0.35">
      <c r="B8549" s="1"/>
    </row>
    <row r="8550" spans="2:5" x14ac:dyDescent="0.35">
      <c r="B8550" s="1"/>
      <c r="E8550" s="2"/>
    </row>
    <row r="8551" spans="2:5" x14ac:dyDescent="0.35">
      <c r="B8551" s="1"/>
    </row>
    <row r="8552" spans="2:5" x14ac:dyDescent="0.35">
      <c r="B8552" s="1"/>
    </row>
    <row r="8553" spans="2:5" x14ac:dyDescent="0.35">
      <c r="B8553" s="1"/>
    </row>
    <row r="8554" spans="2:5" x14ac:dyDescent="0.35">
      <c r="B8554" s="1"/>
      <c r="E8554" s="2"/>
    </row>
    <row r="8555" spans="2:5" x14ac:dyDescent="0.35">
      <c r="B8555" s="1"/>
    </row>
    <row r="8556" spans="2:5" x14ac:dyDescent="0.35">
      <c r="B8556" s="1"/>
    </row>
    <row r="8557" spans="2:5" x14ac:dyDescent="0.35">
      <c r="B8557" s="1"/>
      <c r="E8557" s="2"/>
    </row>
    <row r="8558" spans="2:5" x14ac:dyDescent="0.35">
      <c r="B8558" s="1"/>
      <c r="E8558" s="2"/>
    </row>
    <row r="8559" spans="2:5" x14ac:dyDescent="0.35">
      <c r="B8559" s="1"/>
    </row>
    <row r="8560" spans="2:5" x14ac:dyDescent="0.35">
      <c r="B8560" s="1"/>
    </row>
    <row r="8561" spans="2:5" x14ac:dyDescent="0.35">
      <c r="B8561" s="1"/>
    </row>
    <row r="8562" spans="2:5" x14ac:dyDescent="0.35">
      <c r="B8562" s="1"/>
    </row>
    <row r="8563" spans="2:5" x14ac:dyDescent="0.35">
      <c r="B8563" s="1"/>
    </row>
    <row r="8564" spans="2:5" x14ac:dyDescent="0.35">
      <c r="B8564" s="1"/>
      <c r="E8564" s="2"/>
    </row>
    <row r="8565" spans="2:5" x14ac:dyDescent="0.35">
      <c r="B8565" s="1"/>
    </row>
    <row r="8566" spans="2:5" x14ac:dyDescent="0.35">
      <c r="B8566" s="1"/>
      <c r="E8566" s="2"/>
    </row>
    <row r="8567" spans="2:5" x14ac:dyDescent="0.35">
      <c r="B8567" s="1"/>
      <c r="E8567" s="2"/>
    </row>
    <row r="8568" spans="2:5" x14ac:dyDescent="0.35">
      <c r="B8568" s="1"/>
      <c r="E8568" s="2"/>
    </row>
    <row r="8569" spans="2:5" x14ac:dyDescent="0.35">
      <c r="B8569" s="1"/>
    </row>
    <row r="8570" spans="2:5" x14ac:dyDescent="0.35">
      <c r="B8570" s="1"/>
    </row>
    <row r="8571" spans="2:5" x14ac:dyDescent="0.35">
      <c r="B8571" s="1"/>
      <c r="E8571" s="2"/>
    </row>
    <row r="8572" spans="2:5" x14ac:dyDescent="0.35">
      <c r="B8572" s="1"/>
      <c r="E8572" s="2"/>
    </row>
    <row r="8573" spans="2:5" x14ac:dyDescent="0.35">
      <c r="B8573" s="1"/>
      <c r="E8573" s="2"/>
    </row>
    <row r="8574" spans="2:5" x14ac:dyDescent="0.35">
      <c r="B8574" s="1"/>
      <c r="E8574" s="2"/>
    </row>
    <row r="8575" spans="2:5" x14ac:dyDescent="0.35">
      <c r="B8575" s="1"/>
    </row>
    <row r="8576" spans="2:5" x14ac:dyDescent="0.35">
      <c r="B8576" s="1"/>
      <c r="E8576" s="2"/>
    </row>
    <row r="8577" spans="2:5" x14ac:dyDescent="0.35">
      <c r="B8577" s="1"/>
      <c r="E8577" s="2"/>
    </row>
    <row r="8578" spans="2:5" x14ac:dyDescent="0.35">
      <c r="B8578" s="1"/>
    </row>
    <row r="8579" spans="2:5" x14ac:dyDescent="0.35">
      <c r="B8579" s="1"/>
      <c r="E8579" s="2"/>
    </row>
    <row r="8580" spans="2:5" x14ac:dyDescent="0.35">
      <c r="B8580" s="1"/>
      <c r="E8580" s="2"/>
    </row>
    <row r="8581" spans="2:5" x14ac:dyDescent="0.35">
      <c r="B8581" s="1"/>
    </row>
    <row r="8582" spans="2:5" x14ac:dyDescent="0.35">
      <c r="B8582" s="1"/>
      <c r="E8582" s="2"/>
    </row>
    <row r="8583" spans="2:5" x14ac:dyDescent="0.35">
      <c r="B8583" s="1"/>
      <c r="E8583" s="2"/>
    </row>
    <row r="8584" spans="2:5" x14ac:dyDescent="0.35">
      <c r="B8584" s="1"/>
    </row>
    <row r="8585" spans="2:5" x14ac:dyDescent="0.35">
      <c r="B8585" s="1"/>
    </row>
    <row r="8586" spans="2:5" x14ac:dyDescent="0.35">
      <c r="B8586" s="1"/>
      <c r="E8586" s="2"/>
    </row>
    <row r="8587" spans="2:5" x14ac:dyDescent="0.35">
      <c r="B8587" s="1"/>
      <c r="E8587" s="2"/>
    </row>
    <row r="8588" spans="2:5" x14ac:dyDescent="0.35">
      <c r="B8588" s="1"/>
    </row>
    <row r="8589" spans="2:5" x14ac:dyDescent="0.35">
      <c r="B8589" s="1"/>
    </row>
    <row r="8590" spans="2:5" x14ac:dyDescent="0.35">
      <c r="B8590" s="1"/>
    </row>
    <row r="8591" spans="2:5" x14ac:dyDescent="0.35">
      <c r="B8591" s="1"/>
      <c r="E8591" s="2"/>
    </row>
    <row r="8592" spans="2:5" x14ac:dyDescent="0.35">
      <c r="B8592" s="1"/>
      <c r="E8592" s="2"/>
    </row>
    <row r="8593" spans="2:5" x14ac:dyDescent="0.35">
      <c r="B8593" s="1"/>
    </row>
    <row r="8594" spans="2:5" x14ac:dyDescent="0.35">
      <c r="B8594" s="1"/>
      <c r="E8594" s="2"/>
    </row>
    <row r="8595" spans="2:5" x14ac:dyDescent="0.35">
      <c r="B8595" s="1"/>
      <c r="E8595" s="2"/>
    </row>
    <row r="8596" spans="2:5" x14ac:dyDescent="0.35">
      <c r="B8596" s="1"/>
    </row>
    <row r="8597" spans="2:5" x14ac:dyDescent="0.35">
      <c r="B8597" s="1"/>
      <c r="E8597" s="2"/>
    </row>
    <row r="8598" spans="2:5" x14ac:dyDescent="0.35">
      <c r="B8598" s="1"/>
      <c r="E8598" s="2"/>
    </row>
    <row r="8599" spans="2:5" x14ac:dyDescent="0.35">
      <c r="B8599" s="1"/>
    </row>
    <row r="8600" spans="2:5" x14ac:dyDescent="0.35">
      <c r="B8600" s="1"/>
      <c r="E8600" s="2"/>
    </row>
    <row r="8601" spans="2:5" x14ac:dyDescent="0.35">
      <c r="B8601" s="1"/>
      <c r="E8601" s="2"/>
    </row>
    <row r="8602" spans="2:5" x14ac:dyDescent="0.35">
      <c r="B8602" s="1"/>
    </row>
    <row r="8603" spans="2:5" x14ac:dyDescent="0.35">
      <c r="B8603" s="1"/>
      <c r="E8603" s="2"/>
    </row>
    <row r="8604" spans="2:5" x14ac:dyDescent="0.35">
      <c r="B8604" s="1"/>
    </row>
    <row r="8605" spans="2:5" x14ac:dyDescent="0.35">
      <c r="B8605" s="1"/>
      <c r="E8605" s="2"/>
    </row>
    <row r="8606" spans="2:5" x14ac:dyDescent="0.35">
      <c r="B8606" s="1"/>
      <c r="E8606" s="2"/>
    </row>
    <row r="8607" spans="2:5" x14ac:dyDescent="0.35">
      <c r="B8607" s="1"/>
      <c r="E8607" s="2"/>
    </row>
    <row r="8608" spans="2:5" x14ac:dyDescent="0.35">
      <c r="B8608" s="1"/>
      <c r="E8608" s="2"/>
    </row>
    <row r="8609" spans="2:5" x14ac:dyDescent="0.35">
      <c r="B8609" s="1"/>
      <c r="E8609" s="2"/>
    </row>
    <row r="8610" spans="2:5" x14ac:dyDescent="0.35">
      <c r="B8610" s="1"/>
    </row>
    <row r="8611" spans="2:5" x14ac:dyDescent="0.35">
      <c r="B8611" s="1"/>
      <c r="E8611" s="2"/>
    </row>
    <row r="8612" spans="2:5" x14ac:dyDescent="0.35">
      <c r="B8612" s="1"/>
      <c r="E8612" s="2"/>
    </row>
    <row r="8613" spans="2:5" x14ac:dyDescent="0.35">
      <c r="B8613" s="1"/>
      <c r="E8613" s="2"/>
    </row>
    <row r="8614" spans="2:5" x14ac:dyDescent="0.35">
      <c r="B8614" s="1"/>
      <c r="E8614" s="2"/>
    </row>
    <row r="8615" spans="2:5" x14ac:dyDescent="0.35">
      <c r="B8615" s="1"/>
    </row>
    <row r="8616" spans="2:5" x14ac:dyDescent="0.35">
      <c r="B8616" s="1"/>
    </row>
    <row r="8617" spans="2:5" x14ac:dyDescent="0.35">
      <c r="B8617" s="1"/>
    </row>
    <row r="8618" spans="2:5" x14ac:dyDescent="0.35">
      <c r="B8618" s="1"/>
    </row>
    <row r="8619" spans="2:5" x14ac:dyDescent="0.35">
      <c r="B8619" s="1"/>
    </row>
    <row r="8620" spans="2:5" x14ac:dyDescent="0.35">
      <c r="B8620" s="1"/>
    </row>
    <row r="8621" spans="2:5" x14ac:dyDescent="0.35">
      <c r="B8621" s="1"/>
      <c r="E8621" s="2"/>
    </row>
    <row r="8622" spans="2:5" x14ac:dyDescent="0.35">
      <c r="B8622" s="1"/>
      <c r="E8622" s="2"/>
    </row>
    <row r="8623" spans="2:5" x14ac:dyDescent="0.35">
      <c r="B8623" s="1"/>
      <c r="E8623" s="2"/>
    </row>
    <row r="8624" spans="2:5" x14ac:dyDescent="0.35">
      <c r="B8624" s="1"/>
      <c r="E8624" s="2"/>
    </row>
    <row r="8625" spans="2:5" x14ac:dyDescent="0.35">
      <c r="B8625" s="1"/>
      <c r="E8625" s="2"/>
    </row>
    <row r="8626" spans="2:5" x14ac:dyDescent="0.35">
      <c r="B8626" s="1"/>
      <c r="E8626" s="2"/>
    </row>
    <row r="8627" spans="2:5" x14ac:dyDescent="0.35">
      <c r="B8627" s="1"/>
      <c r="E8627" s="2"/>
    </row>
    <row r="8628" spans="2:5" x14ac:dyDescent="0.35">
      <c r="B8628" s="1"/>
    </row>
    <row r="8629" spans="2:5" x14ac:dyDescent="0.35">
      <c r="B8629" s="1"/>
      <c r="E8629" s="2"/>
    </row>
    <row r="8630" spans="2:5" x14ac:dyDescent="0.35">
      <c r="B8630" s="1"/>
      <c r="E8630" s="2"/>
    </row>
    <row r="8631" spans="2:5" x14ac:dyDescent="0.35">
      <c r="B8631" s="1"/>
      <c r="E8631" s="2"/>
    </row>
    <row r="8632" spans="2:5" x14ac:dyDescent="0.35">
      <c r="B8632" s="1"/>
      <c r="E8632" s="2"/>
    </row>
    <row r="8633" spans="2:5" x14ac:dyDescent="0.35">
      <c r="B8633" s="1"/>
    </row>
    <row r="8634" spans="2:5" x14ac:dyDescent="0.35">
      <c r="B8634" s="1"/>
      <c r="E8634" s="2"/>
    </row>
    <row r="8635" spans="2:5" x14ac:dyDescent="0.35">
      <c r="B8635" s="1"/>
    </row>
    <row r="8636" spans="2:5" x14ac:dyDescent="0.35">
      <c r="B8636" s="1"/>
    </row>
    <row r="8637" spans="2:5" x14ac:dyDescent="0.35">
      <c r="B8637" s="1"/>
    </row>
    <row r="8638" spans="2:5" x14ac:dyDescent="0.35">
      <c r="B8638" s="1"/>
      <c r="E8638" s="2"/>
    </row>
    <row r="8639" spans="2:5" x14ac:dyDescent="0.35">
      <c r="B8639" s="1"/>
    </row>
    <row r="8640" spans="2:5" x14ac:dyDescent="0.35">
      <c r="B8640" s="1"/>
    </row>
    <row r="8641" spans="2:5" x14ac:dyDescent="0.35">
      <c r="B8641" s="1"/>
      <c r="E8641" s="2"/>
    </row>
    <row r="8642" spans="2:5" x14ac:dyDescent="0.35">
      <c r="B8642" s="1"/>
      <c r="E8642" s="2"/>
    </row>
    <row r="8643" spans="2:5" x14ac:dyDescent="0.35">
      <c r="B8643" s="1"/>
      <c r="E8643" s="2"/>
    </row>
    <row r="8644" spans="2:5" x14ac:dyDescent="0.35">
      <c r="B8644" s="1"/>
      <c r="E8644" s="2"/>
    </row>
    <row r="8645" spans="2:5" x14ac:dyDescent="0.35">
      <c r="B8645" s="1"/>
      <c r="E8645" s="2"/>
    </row>
    <row r="8646" spans="2:5" x14ac:dyDescent="0.35">
      <c r="B8646" s="1"/>
      <c r="E8646" s="2"/>
    </row>
    <row r="8647" spans="2:5" x14ac:dyDescent="0.35">
      <c r="B8647" s="1"/>
      <c r="E8647" s="2"/>
    </row>
    <row r="8648" spans="2:5" x14ac:dyDescent="0.35">
      <c r="B8648" s="1"/>
    </row>
    <row r="8649" spans="2:5" x14ac:dyDescent="0.35">
      <c r="B8649" s="1"/>
      <c r="E8649" s="2"/>
    </row>
    <row r="8650" spans="2:5" x14ac:dyDescent="0.35">
      <c r="B8650" s="1"/>
      <c r="E8650" s="2"/>
    </row>
    <row r="8651" spans="2:5" x14ac:dyDescent="0.35">
      <c r="B8651" s="1"/>
      <c r="E8651" s="2"/>
    </row>
    <row r="8652" spans="2:5" x14ac:dyDescent="0.35">
      <c r="B8652" s="1"/>
      <c r="E8652" s="2"/>
    </row>
    <row r="8653" spans="2:5" x14ac:dyDescent="0.35">
      <c r="B8653" s="1"/>
    </row>
    <row r="8654" spans="2:5" x14ac:dyDescent="0.35">
      <c r="B8654" s="1"/>
      <c r="E8654" s="2"/>
    </row>
    <row r="8655" spans="2:5" x14ac:dyDescent="0.35">
      <c r="B8655" s="1"/>
      <c r="E8655" s="2"/>
    </row>
    <row r="8656" spans="2:5" x14ac:dyDescent="0.35">
      <c r="B8656" s="1"/>
      <c r="E8656" s="2"/>
    </row>
    <row r="8657" spans="2:5" x14ac:dyDescent="0.35">
      <c r="B8657" s="1"/>
    </row>
    <row r="8658" spans="2:5" x14ac:dyDescent="0.35">
      <c r="B8658" s="1"/>
      <c r="E8658" s="2"/>
    </row>
    <row r="8659" spans="2:5" x14ac:dyDescent="0.35">
      <c r="B8659" s="1"/>
      <c r="E8659" s="2"/>
    </row>
    <row r="8660" spans="2:5" x14ac:dyDescent="0.35">
      <c r="B8660" s="1"/>
    </row>
    <row r="8661" spans="2:5" x14ac:dyDescent="0.35">
      <c r="B8661" s="1"/>
      <c r="E8661" s="2"/>
    </row>
    <row r="8662" spans="2:5" x14ac:dyDescent="0.35">
      <c r="B8662" s="1"/>
    </row>
    <row r="8663" spans="2:5" x14ac:dyDescent="0.35">
      <c r="B8663" s="1"/>
      <c r="E8663" s="2"/>
    </row>
    <row r="8664" spans="2:5" x14ac:dyDescent="0.35">
      <c r="B8664" s="1"/>
      <c r="E8664" s="2"/>
    </row>
    <row r="8665" spans="2:5" x14ac:dyDescent="0.35">
      <c r="B8665" s="1"/>
    </row>
    <row r="8666" spans="2:5" x14ac:dyDescent="0.35">
      <c r="B8666" s="1"/>
    </row>
    <row r="8667" spans="2:5" x14ac:dyDescent="0.35">
      <c r="B8667" s="1"/>
    </row>
    <row r="8668" spans="2:5" x14ac:dyDescent="0.35">
      <c r="B8668" s="1"/>
      <c r="E8668" s="2"/>
    </row>
    <row r="8669" spans="2:5" x14ac:dyDescent="0.35">
      <c r="B8669" s="1"/>
      <c r="E8669" s="2"/>
    </row>
    <row r="8670" spans="2:5" x14ac:dyDescent="0.35">
      <c r="B8670" s="1"/>
      <c r="E8670" s="2"/>
    </row>
    <row r="8671" spans="2:5" x14ac:dyDescent="0.35">
      <c r="B8671" s="1"/>
      <c r="E8671" s="2"/>
    </row>
    <row r="8672" spans="2:5" x14ac:dyDescent="0.35">
      <c r="B8672" s="1"/>
      <c r="E8672" s="2"/>
    </row>
    <row r="8673" spans="2:5" x14ac:dyDescent="0.35">
      <c r="B8673" s="1"/>
      <c r="E8673" s="2"/>
    </row>
    <row r="8674" spans="2:5" x14ac:dyDescent="0.35">
      <c r="B8674" s="1"/>
      <c r="E8674" s="2"/>
    </row>
    <row r="8675" spans="2:5" x14ac:dyDescent="0.35">
      <c r="B8675" s="1"/>
    </row>
    <row r="8676" spans="2:5" x14ac:dyDescent="0.35">
      <c r="B8676" s="1"/>
    </row>
    <row r="8677" spans="2:5" x14ac:dyDescent="0.35">
      <c r="B8677" s="1"/>
    </row>
    <row r="8678" spans="2:5" x14ac:dyDescent="0.35">
      <c r="B8678" s="1"/>
      <c r="E8678" s="2"/>
    </row>
    <row r="8679" spans="2:5" x14ac:dyDescent="0.35">
      <c r="B8679" s="1"/>
      <c r="E8679" s="2"/>
    </row>
    <row r="8680" spans="2:5" x14ac:dyDescent="0.35">
      <c r="B8680" s="1"/>
      <c r="E8680" s="2"/>
    </row>
    <row r="8681" spans="2:5" x14ac:dyDescent="0.35">
      <c r="B8681" s="1"/>
      <c r="E8681" s="2"/>
    </row>
    <row r="8682" spans="2:5" x14ac:dyDescent="0.35">
      <c r="B8682" s="1"/>
      <c r="E8682" s="2"/>
    </row>
    <row r="8683" spans="2:5" x14ac:dyDescent="0.35">
      <c r="B8683" s="1"/>
      <c r="E8683" s="2"/>
    </row>
    <row r="8684" spans="2:5" x14ac:dyDescent="0.35">
      <c r="B8684" s="1"/>
    </row>
    <row r="8685" spans="2:5" x14ac:dyDescent="0.35">
      <c r="B8685" s="1"/>
      <c r="E8685" s="2"/>
    </row>
    <row r="8686" spans="2:5" x14ac:dyDescent="0.35">
      <c r="B8686" s="1"/>
      <c r="E8686" s="2"/>
    </row>
    <row r="8687" spans="2:5" x14ac:dyDescent="0.35">
      <c r="B8687" s="1"/>
      <c r="E8687" s="2"/>
    </row>
    <row r="8688" spans="2:5" x14ac:dyDescent="0.35">
      <c r="B8688" s="1"/>
    </row>
    <row r="8689" spans="2:5" x14ac:dyDescent="0.35">
      <c r="B8689" s="1"/>
    </row>
    <row r="8690" spans="2:5" x14ac:dyDescent="0.35">
      <c r="B8690" s="1"/>
      <c r="E8690" s="2"/>
    </row>
    <row r="8691" spans="2:5" x14ac:dyDescent="0.35">
      <c r="B8691" s="1"/>
    </row>
    <row r="8692" spans="2:5" x14ac:dyDescent="0.35">
      <c r="B8692" s="1"/>
    </row>
    <row r="8693" spans="2:5" x14ac:dyDescent="0.35">
      <c r="B8693" s="1"/>
      <c r="E8693" s="2"/>
    </row>
    <row r="8694" spans="2:5" x14ac:dyDescent="0.35">
      <c r="B8694" s="1"/>
      <c r="E8694" s="2"/>
    </row>
    <row r="8695" spans="2:5" x14ac:dyDescent="0.35">
      <c r="B8695" s="1"/>
      <c r="E8695" s="2"/>
    </row>
    <row r="8696" spans="2:5" x14ac:dyDescent="0.35">
      <c r="B8696" s="1"/>
    </row>
    <row r="8697" spans="2:5" x14ac:dyDescent="0.35">
      <c r="B8697" s="1"/>
    </row>
    <row r="8698" spans="2:5" x14ac:dyDescent="0.35">
      <c r="B8698" s="1"/>
    </row>
    <row r="8699" spans="2:5" x14ac:dyDescent="0.35">
      <c r="B8699" s="1"/>
    </row>
    <row r="8700" spans="2:5" x14ac:dyDescent="0.35">
      <c r="B8700" s="1"/>
    </row>
    <row r="8701" spans="2:5" x14ac:dyDescent="0.35">
      <c r="B8701" s="1"/>
    </row>
    <row r="8702" spans="2:5" x14ac:dyDescent="0.35">
      <c r="B8702" s="1"/>
      <c r="E8702" s="2"/>
    </row>
    <row r="8703" spans="2:5" x14ac:dyDescent="0.35">
      <c r="B8703" s="1"/>
      <c r="E8703" s="2"/>
    </row>
    <row r="8704" spans="2:5" x14ac:dyDescent="0.35">
      <c r="B8704" s="1"/>
    </row>
    <row r="8705" spans="2:5" x14ac:dyDescent="0.35">
      <c r="B8705" s="1"/>
    </row>
    <row r="8706" spans="2:5" x14ac:dyDescent="0.35">
      <c r="B8706" s="1"/>
    </row>
    <row r="8707" spans="2:5" x14ac:dyDescent="0.35">
      <c r="B8707" s="1"/>
    </row>
    <row r="8708" spans="2:5" x14ac:dyDescent="0.35">
      <c r="B8708" s="1"/>
      <c r="E8708" s="2"/>
    </row>
    <row r="8709" spans="2:5" x14ac:dyDescent="0.35">
      <c r="B8709" s="1"/>
    </row>
    <row r="8710" spans="2:5" x14ac:dyDescent="0.35">
      <c r="B8710" s="1"/>
      <c r="E8710" s="2"/>
    </row>
    <row r="8711" spans="2:5" x14ac:dyDescent="0.35">
      <c r="B8711" s="1"/>
    </row>
    <row r="8712" spans="2:5" x14ac:dyDescent="0.35">
      <c r="B8712" s="1"/>
      <c r="E8712" s="2"/>
    </row>
    <row r="8713" spans="2:5" x14ac:dyDescent="0.35">
      <c r="B8713" s="1"/>
      <c r="E8713" s="2"/>
    </row>
    <row r="8714" spans="2:5" x14ac:dyDescent="0.35">
      <c r="B8714" s="1"/>
      <c r="E8714" s="2"/>
    </row>
    <row r="8715" spans="2:5" x14ac:dyDescent="0.35">
      <c r="B8715" s="1"/>
      <c r="E8715" s="2"/>
    </row>
    <row r="8716" spans="2:5" x14ac:dyDescent="0.35">
      <c r="B8716" s="1"/>
      <c r="E8716" s="2"/>
    </row>
    <row r="8717" spans="2:5" x14ac:dyDescent="0.35">
      <c r="B8717" s="1"/>
    </row>
    <row r="8718" spans="2:5" x14ac:dyDescent="0.35">
      <c r="B8718" s="1"/>
      <c r="E8718" s="2"/>
    </row>
    <row r="8719" spans="2:5" x14ac:dyDescent="0.35">
      <c r="B8719" s="1"/>
      <c r="E8719" s="2"/>
    </row>
    <row r="8720" spans="2:5" x14ac:dyDescent="0.35">
      <c r="B8720" s="1"/>
      <c r="E8720" s="2"/>
    </row>
    <row r="8721" spans="2:5" x14ac:dyDescent="0.35">
      <c r="B8721" s="1"/>
      <c r="E8721" s="2"/>
    </row>
    <row r="8722" spans="2:5" x14ac:dyDescent="0.35">
      <c r="B8722" s="1"/>
      <c r="E8722" s="2"/>
    </row>
    <row r="8723" spans="2:5" x14ac:dyDescent="0.35">
      <c r="B8723" s="1"/>
    </row>
    <row r="8724" spans="2:5" x14ac:dyDescent="0.35">
      <c r="B8724" s="1"/>
    </row>
    <row r="8725" spans="2:5" x14ac:dyDescent="0.35">
      <c r="B8725" s="1"/>
    </row>
    <row r="8726" spans="2:5" x14ac:dyDescent="0.35">
      <c r="B8726" s="1"/>
      <c r="E8726" s="2"/>
    </row>
    <row r="8727" spans="2:5" x14ac:dyDescent="0.35">
      <c r="B8727" s="1"/>
      <c r="E8727" s="2"/>
    </row>
    <row r="8728" spans="2:5" x14ac:dyDescent="0.35">
      <c r="B8728" s="1"/>
      <c r="E8728" s="2"/>
    </row>
    <row r="8729" spans="2:5" x14ac:dyDescent="0.35">
      <c r="B8729" s="1"/>
    </row>
    <row r="8730" spans="2:5" x14ac:dyDescent="0.35">
      <c r="B8730" s="1"/>
    </row>
    <row r="8731" spans="2:5" x14ac:dyDescent="0.35">
      <c r="B8731" s="1"/>
      <c r="E8731" s="2"/>
    </row>
    <row r="8732" spans="2:5" x14ac:dyDescent="0.35">
      <c r="B8732" s="1"/>
    </row>
    <row r="8733" spans="2:5" x14ac:dyDescent="0.35">
      <c r="B8733" s="1"/>
      <c r="E8733" s="2"/>
    </row>
    <row r="8734" spans="2:5" x14ac:dyDescent="0.35">
      <c r="B8734" s="1"/>
    </row>
    <row r="8735" spans="2:5" x14ac:dyDescent="0.35">
      <c r="B8735" s="1"/>
    </row>
    <row r="8736" spans="2:5" x14ac:dyDescent="0.35">
      <c r="B8736" s="1"/>
    </row>
    <row r="8737" spans="2:5" x14ac:dyDescent="0.35">
      <c r="B8737" s="1"/>
      <c r="E8737" s="2"/>
    </row>
    <row r="8738" spans="2:5" x14ac:dyDescent="0.35">
      <c r="B8738" s="1"/>
      <c r="E8738" s="2"/>
    </row>
    <row r="8739" spans="2:5" x14ac:dyDescent="0.35">
      <c r="B8739" s="1"/>
      <c r="E8739" s="2"/>
    </row>
    <row r="8740" spans="2:5" x14ac:dyDescent="0.35">
      <c r="B8740" s="1"/>
    </row>
    <row r="8741" spans="2:5" x14ac:dyDescent="0.35">
      <c r="B8741" s="1"/>
    </row>
    <row r="8742" spans="2:5" x14ac:dyDescent="0.35">
      <c r="B8742" s="1"/>
      <c r="E8742" s="2"/>
    </row>
    <row r="8743" spans="2:5" x14ac:dyDescent="0.35">
      <c r="B8743" s="1"/>
    </row>
    <row r="8744" spans="2:5" x14ac:dyDescent="0.35">
      <c r="B8744" s="1"/>
      <c r="E8744" s="2"/>
    </row>
    <row r="8745" spans="2:5" x14ac:dyDescent="0.35">
      <c r="B8745" s="1"/>
      <c r="E8745" s="2"/>
    </row>
    <row r="8746" spans="2:5" x14ac:dyDescent="0.35">
      <c r="B8746" s="1"/>
    </row>
    <row r="8747" spans="2:5" x14ac:dyDescent="0.35">
      <c r="B8747" s="1"/>
    </row>
    <row r="8748" spans="2:5" x14ac:dyDescent="0.35">
      <c r="B8748" s="1"/>
      <c r="E8748" s="2"/>
    </row>
    <row r="8749" spans="2:5" x14ac:dyDescent="0.35">
      <c r="B8749" s="1"/>
      <c r="E8749" s="2"/>
    </row>
    <row r="8750" spans="2:5" x14ac:dyDescent="0.35">
      <c r="B8750" s="1"/>
      <c r="E8750" s="2"/>
    </row>
    <row r="8751" spans="2:5" x14ac:dyDescent="0.35">
      <c r="B8751" s="1"/>
    </row>
    <row r="8752" spans="2:5" x14ac:dyDescent="0.35">
      <c r="B8752" s="1"/>
      <c r="E8752" s="2"/>
    </row>
    <row r="8753" spans="2:5" x14ac:dyDescent="0.35">
      <c r="B8753" s="1"/>
    </row>
    <row r="8754" spans="2:5" x14ac:dyDescent="0.35">
      <c r="B8754" s="1"/>
    </row>
    <row r="8755" spans="2:5" x14ac:dyDescent="0.35">
      <c r="B8755" s="1"/>
    </row>
    <row r="8756" spans="2:5" x14ac:dyDescent="0.35">
      <c r="B8756" s="1"/>
      <c r="E8756" s="2"/>
    </row>
    <row r="8757" spans="2:5" x14ac:dyDescent="0.35">
      <c r="B8757" s="1"/>
    </row>
    <row r="8758" spans="2:5" x14ac:dyDescent="0.35">
      <c r="B8758" s="1"/>
    </row>
    <row r="8759" spans="2:5" x14ac:dyDescent="0.35">
      <c r="B8759" s="1"/>
      <c r="E8759" s="2"/>
    </row>
    <row r="8760" spans="2:5" x14ac:dyDescent="0.35">
      <c r="B8760" s="1"/>
    </row>
    <row r="8761" spans="2:5" x14ac:dyDescent="0.35">
      <c r="B8761" s="1"/>
      <c r="E8761" s="2"/>
    </row>
    <row r="8762" spans="2:5" x14ac:dyDescent="0.35">
      <c r="B8762" s="1"/>
    </row>
    <row r="8763" spans="2:5" x14ac:dyDescent="0.35">
      <c r="B8763" s="1"/>
      <c r="E8763" s="2"/>
    </row>
    <row r="8764" spans="2:5" x14ac:dyDescent="0.35">
      <c r="B8764" s="1"/>
    </row>
    <row r="8765" spans="2:5" x14ac:dyDescent="0.35">
      <c r="B8765" s="1"/>
      <c r="E8765" s="2"/>
    </row>
    <row r="8766" spans="2:5" x14ac:dyDescent="0.35">
      <c r="B8766" s="1"/>
    </row>
    <row r="8767" spans="2:5" x14ac:dyDescent="0.35">
      <c r="B8767" s="1"/>
    </row>
    <row r="8768" spans="2:5" x14ac:dyDescent="0.35">
      <c r="B8768" s="1"/>
      <c r="E8768" s="2"/>
    </row>
    <row r="8769" spans="2:5" x14ac:dyDescent="0.35">
      <c r="B8769" s="1"/>
    </row>
    <row r="8770" spans="2:5" x14ac:dyDescent="0.35">
      <c r="B8770" s="1"/>
      <c r="E8770" s="2"/>
    </row>
    <row r="8771" spans="2:5" x14ac:dyDescent="0.35">
      <c r="B8771" s="1"/>
    </row>
    <row r="8772" spans="2:5" x14ac:dyDescent="0.35">
      <c r="B8772" s="1"/>
    </row>
    <row r="8773" spans="2:5" x14ac:dyDescent="0.35">
      <c r="B8773" s="1"/>
      <c r="E8773" s="2"/>
    </row>
    <row r="8774" spans="2:5" x14ac:dyDescent="0.35">
      <c r="B8774" s="1"/>
      <c r="E8774" s="2"/>
    </row>
    <row r="8775" spans="2:5" x14ac:dyDescent="0.35">
      <c r="B8775" s="1"/>
    </row>
    <row r="8776" spans="2:5" x14ac:dyDescent="0.35">
      <c r="B8776" s="1"/>
    </row>
    <row r="8777" spans="2:5" x14ac:dyDescent="0.35">
      <c r="B8777" s="1"/>
    </row>
    <row r="8778" spans="2:5" x14ac:dyDescent="0.35">
      <c r="B8778" s="1"/>
    </row>
    <row r="8779" spans="2:5" x14ac:dyDescent="0.35">
      <c r="B8779" s="1"/>
      <c r="E8779" s="2"/>
    </row>
    <row r="8780" spans="2:5" x14ac:dyDescent="0.35">
      <c r="B8780" s="1"/>
    </row>
    <row r="8781" spans="2:5" x14ac:dyDescent="0.35">
      <c r="B8781" s="1"/>
    </row>
    <row r="8782" spans="2:5" x14ac:dyDescent="0.35">
      <c r="B8782" s="1"/>
      <c r="E8782" s="2"/>
    </row>
    <row r="8783" spans="2:5" x14ac:dyDescent="0.35">
      <c r="B8783" s="1"/>
    </row>
    <row r="8784" spans="2:5" x14ac:dyDescent="0.35">
      <c r="B8784" s="1"/>
    </row>
    <row r="8785" spans="2:5" x14ac:dyDescent="0.35">
      <c r="B8785" s="1"/>
    </row>
    <row r="8786" spans="2:5" x14ac:dyDescent="0.35">
      <c r="B8786" s="1"/>
    </row>
    <row r="8787" spans="2:5" x14ac:dyDescent="0.35">
      <c r="B8787" s="1"/>
      <c r="E8787" s="2"/>
    </row>
    <row r="8788" spans="2:5" x14ac:dyDescent="0.35">
      <c r="B8788" s="1"/>
      <c r="E8788" s="2"/>
    </row>
    <row r="8789" spans="2:5" x14ac:dyDescent="0.35">
      <c r="B8789" s="1"/>
    </row>
    <row r="8790" spans="2:5" x14ac:dyDescent="0.35">
      <c r="B8790" s="1"/>
    </row>
    <row r="8791" spans="2:5" x14ac:dyDescent="0.35">
      <c r="B8791" s="1"/>
      <c r="E8791" s="2"/>
    </row>
    <row r="8792" spans="2:5" x14ac:dyDescent="0.35">
      <c r="B8792" s="1"/>
    </row>
    <row r="8793" spans="2:5" x14ac:dyDescent="0.35">
      <c r="B8793" s="1"/>
      <c r="E8793" s="2"/>
    </row>
    <row r="8794" spans="2:5" x14ac:dyDescent="0.35">
      <c r="B8794" s="1"/>
    </row>
    <row r="8795" spans="2:5" x14ac:dyDescent="0.35">
      <c r="B8795" s="1"/>
    </row>
    <row r="8796" spans="2:5" x14ac:dyDescent="0.35">
      <c r="B8796" s="1"/>
      <c r="E8796" s="2"/>
    </row>
    <row r="8797" spans="2:5" x14ac:dyDescent="0.35">
      <c r="B8797" s="1"/>
      <c r="E8797" s="2"/>
    </row>
    <row r="8798" spans="2:5" x14ac:dyDescent="0.35">
      <c r="B8798" s="1"/>
    </row>
    <row r="8799" spans="2:5" x14ac:dyDescent="0.35">
      <c r="B8799" s="1"/>
      <c r="E8799" s="2"/>
    </row>
    <row r="8800" spans="2:5" x14ac:dyDescent="0.35">
      <c r="B8800" s="1"/>
    </row>
    <row r="8801" spans="2:5" x14ac:dyDescent="0.35">
      <c r="B8801" s="1"/>
    </row>
    <row r="8802" spans="2:5" x14ac:dyDescent="0.35">
      <c r="B8802" s="1"/>
    </row>
    <row r="8803" spans="2:5" x14ac:dyDescent="0.35">
      <c r="B8803" s="1"/>
    </row>
    <row r="8804" spans="2:5" x14ac:dyDescent="0.35">
      <c r="B8804" s="1"/>
    </row>
    <row r="8805" spans="2:5" x14ac:dyDescent="0.35">
      <c r="B8805" s="1"/>
    </row>
    <row r="8806" spans="2:5" x14ac:dyDescent="0.35">
      <c r="B8806" s="1"/>
    </row>
    <row r="8807" spans="2:5" x14ac:dyDescent="0.35">
      <c r="B8807" s="1"/>
      <c r="E8807" s="2"/>
    </row>
    <row r="8808" spans="2:5" x14ac:dyDescent="0.35">
      <c r="B8808" s="1"/>
      <c r="E8808" s="2"/>
    </row>
    <row r="8809" spans="2:5" x14ac:dyDescent="0.35">
      <c r="B8809" s="1"/>
    </row>
    <row r="8810" spans="2:5" x14ac:dyDescent="0.35">
      <c r="B8810" s="1"/>
      <c r="E8810" s="2"/>
    </row>
    <row r="8811" spans="2:5" x14ac:dyDescent="0.35">
      <c r="B8811" s="1"/>
      <c r="E8811" s="2"/>
    </row>
    <row r="8812" spans="2:5" x14ac:dyDescent="0.35">
      <c r="B8812" s="1"/>
    </row>
    <row r="8813" spans="2:5" x14ac:dyDescent="0.35">
      <c r="B8813" s="1"/>
    </row>
    <row r="8814" spans="2:5" x14ac:dyDescent="0.35">
      <c r="B8814" s="1"/>
      <c r="E8814" s="2"/>
    </row>
    <row r="8815" spans="2:5" x14ac:dyDescent="0.35">
      <c r="B8815" s="1"/>
    </row>
    <row r="8816" spans="2:5" x14ac:dyDescent="0.35">
      <c r="B8816" s="1"/>
    </row>
    <row r="8817" spans="2:5" x14ac:dyDescent="0.35">
      <c r="B8817" s="1"/>
    </row>
    <row r="8818" spans="2:5" x14ac:dyDescent="0.35">
      <c r="B8818" s="1"/>
    </row>
    <row r="8819" spans="2:5" x14ac:dyDescent="0.35">
      <c r="B8819" s="1"/>
      <c r="E8819" s="2"/>
    </row>
    <row r="8820" spans="2:5" x14ac:dyDescent="0.35">
      <c r="B8820" s="1"/>
      <c r="E8820" s="2"/>
    </row>
    <row r="8821" spans="2:5" x14ac:dyDescent="0.35">
      <c r="B8821" s="1"/>
    </row>
    <row r="8822" spans="2:5" x14ac:dyDescent="0.35">
      <c r="B8822" s="1"/>
      <c r="E8822" s="2"/>
    </row>
    <row r="8823" spans="2:5" x14ac:dyDescent="0.35">
      <c r="B8823" s="1"/>
    </row>
    <row r="8824" spans="2:5" x14ac:dyDescent="0.35">
      <c r="B8824" s="1"/>
      <c r="E8824" s="2"/>
    </row>
    <row r="8825" spans="2:5" x14ac:dyDescent="0.35">
      <c r="B8825" s="1"/>
    </row>
    <row r="8826" spans="2:5" x14ac:dyDescent="0.35">
      <c r="B8826" s="1"/>
      <c r="E8826" s="2"/>
    </row>
    <row r="8827" spans="2:5" x14ac:dyDescent="0.35">
      <c r="B8827" s="1"/>
      <c r="E8827" s="2"/>
    </row>
    <row r="8828" spans="2:5" x14ac:dyDescent="0.35">
      <c r="B8828" s="1"/>
    </row>
    <row r="8829" spans="2:5" x14ac:dyDescent="0.35">
      <c r="B8829" s="1"/>
    </row>
    <row r="8830" spans="2:5" x14ac:dyDescent="0.35">
      <c r="B8830" s="1"/>
    </row>
    <row r="8831" spans="2:5" x14ac:dyDescent="0.35">
      <c r="B8831" s="1"/>
      <c r="E8831" s="2"/>
    </row>
    <row r="8832" spans="2:5" x14ac:dyDescent="0.35">
      <c r="B8832" s="1"/>
    </row>
    <row r="8833" spans="2:5" x14ac:dyDescent="0.35">
      <c r="B8833" s="1"/>
      <c r="E8833" s="2"/>
    </row>
    <row r="8834" spans="2:5" x14ac:dyDescent="0.35">
      <c r="B8834" s="1"/>
      <c r="E8834" s="2"/>
    </row>
    <row r="8835" spans="2:5" x14ac:dyDescent="0.35">
      <c r="B8835" s="1"/>
    </row>
    <row r="8836" spans="2:5" x14ac:dyDescent="0.35">
      <c r="B8836" s="1"/>
      <c r="E8836" s="2"/>
    </row>
    <row r="8837" spans="2:5" x14ac:dyDescent="0.35">
      <c r="B8837" s="1"/>
      <c r="E8837" s="2"/>
    </row>
    <row r="8838" spans="2:5" x14ac:dyDescent="0.35">
      <c r="B8838" s="1"/>
      <c r="E8838" s="2"/>
    </row>
    <row r="8839" spans="2:5" x14ac:dyDescent="0.35">
      <c r="B8839" s="1"/>
    </row>
    <row r="8840" spans="2:5" x14ac:dyDescent="0.35">
      <c r="B8840" s="1"/>
      <c r="E8840" s="2"/>
    </row>
    <row r="8841" spans="2:5" x14ac:dyDescent="0.35">
      <c r="B8841" s="1"/>
    </row>
    <row r="8842" spans="2:5" x14ac:dyDescent="0.35">
      <c r="B8842" s="1"/>
      <c r="E8842" s="2"/>
    </row>
    <row r="8843" spans="2:5" x14ac:dyDescent="0.35">
      <c r="B8843" s="1"/>
      <c r="E8843" s="2"/>
    </row>
    <row r="8844" spans="2:5" x14ac:dyDescent="0.35">
      <c r="B8844" s="1"/>
      <c r="E8844" s="2"/>
    </row>
    <row r="8845" spans="2:5" x14ac:dyDescent="0.35">
      <c r="B8845" s="1"/>
      <c r="E8845" s="2"/>
    </row>
    <row r="8846" spans="2:5" x14ac:dyDescent="0.35">
      <c r="B8846" s="1"/>
    </row>
    <row r="8847" spans="2:5" x14ac:dyDescent="0.35">
      <c r="B8847" s="1"/>
    </row>
    <row r="8848" spans="2:5" x14ac:dyDescent="0.35">
      <c r="B8848" s="1"/>
      <c r="E8848" s="2"/>
    </row>
    <row r="8849" spans="2:5" x14ac:dyDescent="0.35">
      <c r="B8849" s="1"/>
      <c r="E8849" s="2"/>
    </row>
    <row r="8850" spans="2:5" x14ac:dyDescent="0.35">
      <c r="B8850" s="1"/>
      <c r="E8850" s="2"/>
    </row>
    <row r="8851" spans="2:5" x14ac:dyDescent="0.35">
      <c r="B8851" s="1"/>
    </row>
    <row r="8852" spans="2:5" x14ac:dyDescent="0.35">
      <c r="B8852" s="1"/>
    </row>
    <row r="8853" spans="2:5" x14ac:dyDescent="0.35">
      <c r="B8853" s="1"/>
    </row>
    <row r="8854" spans="2:5" x14ac:dyDescent="0.35">
      <c r="B8854" s="1"/>
      <c r="E8854" s="2"/>
    </row>
    <row r="8855" spans="2:5" x14ac:dyDescent="0.35">
      <c r="B8855" s="1"/>
    </row>
    <row r="8856" spans="2:5" x14ac:dyDescent="0.35">
      <c r="B8856" s="1"/>
      <c r="E8856" s="2"/>
    </row>
    <row r="8857" spans="2:5" x14ac:dyDescent="0.35">
      <c r="B8857" s="1"/>
      <c r="E8857" s="2"/>
    </row>
    <row r="8858" spans="2:5" x14ac:dyDescent="0.35">
      <c r="B8858" s="1"/>
      <c r="E8858" s="2"/>
    </row>
    <row r="8859" spans="2:5" x14ac:dyDescent="0.35">
      <c r="B8859" s="1"/>
    </row>
    <row r="8860" spans="2:5" x14ac:dyDescent="0.35">
      <c r="B8860" s="1"/>
      <c r="E8860" s="2"/>
    </row>
    <row r="8861" spans="2:5" x14ac:dyDescent="0.35">
      <c r="B8861" s="1"/>
      <c r="E8861" s="2"/>
    </row>
    <row r="8862" spans="2:5" x14ac:dyDescent="0.35">
      <c r="B8862" s="1"/>
    </row>
    <row r="8863" spans="2:5" x14ac:dyDescent="0.35">
      <c r="B8863" s="1"/>
      <c r="E8863" s="2"/>
    </row>
    <row r="8864" spans="2:5" x14ac:dyDescent="0.35">
      <c r="B8864" s="1"/>
      <c r="E8864" s="2"/>
    </row>
    <row r="8865" spans="2:5" x14ac:dyDescent="0.35">
      <c r="B8865" s="1"/>
      <c r="E8865" s="2"/>
    </row>
    <row r="8866" spans="2:5" x14ac:dyDescent="0.35">
      <c r="B8866" s="1"/>
      <c r="E8866" s="2"/>
    </row>
    <row r="8867" spans="2:5" x14ac:dyDescent="0.35">
      <c r="B8867" s="1"/>
    </row>
    <row r="8868" spans="2:5" x14ac:dyDescent="0.35">
      <c r="B8868" s="1"/>
    </row>
    <row r="8869" spans="2:5" x14ac:dyDescent="0.35">
      <c r="B8869" s="1"/>
    </row>
    <row r="8870" spans="2:5" x14ac:dyDescent="0.35">
      <c r="B8870" s="1"/>
      <c r="E8870" s="2"/>
    </row>
    <row r="8871" spans="2:5" x14ac:dyDescent="0.35">
      <c r="B8871" s="1"/>
      <c r="E8871" s="2"/>
    </row>
    <row r="8872" spans="2:5" x14ac:dyDescent="0.35">
      <c r="B8872" s="1"/>
      <c r="E8872" s="2"/>
    </row>
    <row r="8873" spans="2:5" x14ac:dyDescent="0.35">
      <c r="B8873" s="1"/>
      <c r="E8873" s="2"/>
    </row>
    <row r="8874" spans="2:5" x14ac:dyDescent="0.35">
      <c r="B8874" s="1"/>
      <c r="E8874" s="2"/>
    </row>
    <row r="8875" spans="2:5" x14ac:dyDescent="0.35">
      <c r="B8875" s="1"/>
      <c r="E8875" s="2"/>
    </row>
    <row r="8876" spans="2:5" x14ac:dyDescent="0.35">
      <c r="B8876" s="1"/>
      <c r="E8876" s="2"/>
    </row>
    <row r="8877" spans="2:5" x14ac:dyDescent="0.35">
      <c r="B8877" s="1"/>
      <c r="E8877" s="2"/>
    </row>
    <row r="8878" spans="2:5" x14ac:dyDescent="0.35">
      <c r="B8878" s="1"/>
      <c r="E8878" s="2"/>
    </row>
    <row r="8879" spans="2:5" x14ac:dyDescent="0.35">
      <c r="B8879" s="1"/>
    </row>
    <row r="8880" spans="2:5" x14ac:dyDescent="0.35">
      <c r="B8880" s="1"/>
    </row>
    <row r="8881" spans="2:5" x14ac:dyDescent="0.35">
      <c r="B8881" s="1"/>
      <c r="E8881" s="2"/>
    </row>
    <row r="8882" spans="2:5" x14ac:dyDescent="0.35">
      <c r="B8882" s="1"/>
    </row>
    <row r="8883" spans="2:5" x14ac:dyDescent="0.35">
      <c r="B8883" s="1"/>
      <c r="E8883" s="2"/>
    </row>
    <row r="8884" spans="2:5" x14ac:dyDescent="0.35">
      <c r="B8884" s="1"/>
      <c r="E8884" s="2"/>
    </row>
    <row r="8885" spans="2:5" x14ac:dyDescent="0.35">
      <c r="B8885" s="1"/>
    </row>
    <row r="8886" spans="2:5" x14ac:dyDescent="0.35">
      <c r="B8886" s="1"/>
      <c r="E8886" s="2"/>
    </row>
    <row r="8887" spans="2:5" x14ac:dyDescent="0.35">
      <c r="B8887" s="1"/>
    </row>
    <row r="8888" spans="2:5" x14ac:dyDescent="0.35">
      <c r="B8888" s="1"/>
      <c r="E8888" s="2"/>
    </row>
    <row r="8889" spans="2:5" x14ac:dyDescent="0.35">
      <c r="B8889" s="1"/>
    </row>
    <row r="8890" spans="2:5" x14ac:dyDescent="0.35">
      <c r="B8890" s="1"/>
      <c r="E8890" s="2"/>
    </row>
    <row r="8891" spans="2:5" x14ac:dyDescent="0.35">
      <c r="B8891" s="1"/>
      <c r="E8891" s="2"/>
    </row>
    <row r="8892" spans="2:5" x14ac:dyDescent="0.35">
      <c r="B8892" s="1"/>
      <c r="E8892" s="2"/>
    </row>
    <row r="8893" spans="2:5" x14ac:dyDescent="0.35">
      <c r="B8893" s="1"/>
      <c r="E8893" s="2"/>
    </row>
    <row r="8894" spans="2:5" x14ac:dyDescent="0.35">
      <c r="B8894" s="1"/>
      <c r="E8894" s="2"/>
    </row>
    <row r="8895" spans="2:5" x14ac:dyDescent="0.35">
      <c r="B8895" s="1"/>
      <c r="E8895" s="2"/>
    </row>
    <row r="8896" spans="2:5" x14ac:dyDescent="0.35">
      <c r="B8896" s="1"/>
    </row>
    <row r="8897" spans="2:5" x14ac:dyDescent="0.35">
      <c r="B8897" s="1"/>
      <c r="E8897" s="2"/>
    </row>
    <row r="8898" spans="2:5" x14ac:dyDescent="0.35">
      <c r="B8898" s="1"/>
      <c r="E8898" s="2"/>
    </row>
    <row r="8899" spans="2:5" x14ac:dyDescent="0.35">
      <c r="B8899" s="1"/>
    </row>
    <row r="8900" spans="2:5" x14ac:dyDescent="0.35">
      <c r="B8900" s="1"/>
    </row>
    <row r="8901" spans="2:5" x14ac:dyDescent="0.35">
      <c r="B8901" s="1"/>
      <c r="E8901" s="2"/>
    </row>
    <row r="8902" spans="2:5" x14ac:dyDescent="0.35">
      <c r="B8902" s="1"/>
      <c r="E8902" s="2"/>
    </row>
    <row r="8903" spans="2:5" x14ac:dyDescent="0.35">
      <c r="B8903" s="1"/>
      <c r="E8903" s="2"/>
    </row>
    <row r="8904" spans="2:5" x14ac:dyDescent="0.35">
      <c r="B8904" s="1"/>
      <c r="E8904" s="2"/>
    </row>
    <row r="8905" spans="2:5" x14ac:dyDescent="0.35">
      <c r="B8905" s="1"/>
      <c r="E8905" s="2"/>
    </row>
    <row r="8906" spans="2:5" x14ac:dyDescent="0.35">
      <c r="B8906" s="1"/>
      <c r="E8906" s="2"/>
    </row>
    <row r="8907" spans="2:5" x14ac:dyDescent="0.35">
      <c r="B8907" s="1"/>
      <c r="E8907" s="2"/>
    </row>
    <row r="8908" spans="2:5" x14ac:dyDescent="0.35">
      <c r="B8908" s="1"/>
      <c r="E8908" s="2"/>
    </row>
    <row r="8909" spans="2:5" x14ac:dyDescent="0.35">
      <c r="B8909" s="1"/>
      <c r="E8909" s="2"/>
    </row>
    <row r="8910" spans="2:5" x14ac:dyDescent="0.35">
      <c r="B8910" s="1"/>
    </row>
    <row r="8911" spans="2:5" x14ac:dyDescent="0.35">
      <c r="B8911" s="1"/>
      <c r="E8911" s="2"/>
    </row>
    <row r="8912" spans="2:5" x14ac:dyDescent="0.35">
      <c r="B8912" s="1"/>
    </row>
    <row r="8913" spans="2:5" x14ac:dyDescent="0.35">
      <c r="B8913" s="1"/>
      <c r="E8913" s="2"/>
    </row>
    <row r="8914" spans="2:5" x14ac:dyDescent="0.35">
      <c r="B8914" s="1"/>
    </row>
    <row r="8915" spans="2:5" x14ac:dyDescent="0.35">
      <c r="B8915" s="1"/>
      <c r="E8915" s="2"/>
    </row>
    <row r="8916" spans="2:5" x14ac:dyDescent="0.35">
      <c r="B8916" s="1"/>
    </row>
    <row r="8917" spans="2:5" x14ac:dyDescent="0.35">
      <c r="B8917" s="1"/>
    </row>
    <row r="8918" spans="2:5" x14ac:dyDescent="0.35">
      <c r="B8918" s="1"/>
    </row>
    <row r="8919" spans="2:5" x14ac:dyDescent="0.35">
      <c r="B8919" s="1"/>
      <c r="E8919" s="2"/>
    </row>
    <row r="8920" spans="2:5" x14ac:dyDescent="0.35">
      <c r="B8920" s="1"/>
      <c r="E8920" s="2"/>
    </row>
    <row r="8921" spans="2:5" x14ac:dyDescent="0.35">
      <c r="B8921" s="1"/>
      <c r="E8921" s="2"/>
    </row>
    <row r="8922" spans="2:5" x14ac:dyDescent="0.35">
      <c r="B8922" s="1"/>
      <c r="E8922" s="2"/>
    </row>
    <row r="8923" spans="2:5" x14ac:dyDescent="0.35">
      <c r="B8923" s="1"/>
      <c r="E8923" s="2"/>
    </row>
    <row r="8924" spans="2:5" x14ac:dyDescent="0.35">
      <c r="B8924" s="1"/>
    </row>
    <row r="8925" spans="2:5" x14ac:dyDescent="0.35">
      <c r="B8925" s="1"/>
    </row>
    <row r="8926" spans="2:5" x14ac:dyDescent="0.35">
      <c r="B8926" s="1"/>
    </row>
    <row r="8927" spans="2:5" x14ac:dyDescent="0.35">
      <c r="B8927" s="1"/>
    </row>
    <row r="8928" spans="2:5" x14ac:dyDescent="0.35">
      <c r="B8928" s="1"/>
    </row>
    <row r="8929" spans="2:5" x14ac:dyDescent="0.35">
      <c r="B8929" s="1"/>
      <c r="E8929" s="2"/>
    </row>
    <row r="8930" spans="2:5" x14ac:dyDescent="0.35">
      <c r="B8930" s="1"/>
      <c r="E8930" s="2"/>
    </row>
    <row r="8931" spans="2:5" x14ac:dyDescent="0.35">
      <c r="B8931" s="1"/>
      <c r="E8931" s="2"/>
    </row>
    <row r="8932" spans="2:5" x14ac:dyDescent="0.35">
      <c r="B8932" s="1"/>
      <c r="E8932" s="2"/>
    </row>
    <row r="8933" spans="2:5" x14ac:dyDescent="0.35">
      <c r="B8933" s="1"/>
    </row>
    <row r="8934" spans="2:5" x14ac:dyDescent="0.35">
      <c r="B8934" s="1"/>
    </row>
    <row r="8935" spans="2:5" x14ac:dyDescent="0.35">
      <c r="B8935" s="1"/>
    </row>
    <row r="8936" spans="2:5" x14ac:dyDescent="0.35">
      <c r="B8936" s="1"/>
      <c r="E8936" s="2"/>
    </row>
    <row r="8937" spans="2:5" x14ac:dyDescent="0.35">
      <c r="B8937" s="1"/>
    </row>
    <row r="8938" spans="2:5" x14ac:dyDescent="0.35">
      <c r="B8938" s="1"/>
      <c r="E8938" s="2"/>
    </row>
    <row r="8939" spans="2:5" x14ac:dyDescent="0.35">
      <c r="B8939" s="1"/>
      <c r="E8939" s="2"/>
    </row>
    <row r="8940" spans="2:5" x14ac:dyDescent="0.35">
      <c r="B8940" s="1"/>
    </row>
    <row r="8941" spans="2:5" x14ac:dyDescent="0.35">
      <c r="B8941" s="1"/>
    </row>
    <row r="8942" spans="2:5" x14ac:dyDescent="0.35">
      <c r="B8942" s="1"/>
      <c r="E8942" s="2"/>
    </row>
    <row r="8943" spans="2:5" x14ac:dyDescent="0.35">
      <c r="B8943" s="1"/>
    </row>
    <row r="8944" spans="2:5" x14ac:dyDescent="0.35">
      <c r="B8944" s="1"/>
    </row>
    <row r="8945" spans="2:5" x14ac:dyDescent="0.35">
      <c r="B8945" s="1"/>
      <c r="E8945" s="2"/>
    </row>
    <row r="8946" spans="2:5" x14ac:dyDescent="0.35">
      <c r="B8946" s="1"/>
      <c r="E8946" s="2"/>
    </row>
    <row r="8947" spans="2:5" x14ac:dyDescent="0.35">
      <c r="B8947" s="1"/>
      <c r="E8947" s="2"/>
    </row>
    <row r="8948" spans="2:5" x14ac:dyDescent="0.35">
      <c r="B8948" s="1"/>
    </row>
    <row r="8949" spans="2:5" x14ac:dyDescent="0.35">
      <c r="B8949" s="1"/>
      <c r="E8949" s="2"/>
    </row>
    <row r="8950" spans="2:5" x14ac:dyDescent="0.35">
      <c r="B8950" s="1"/>
      <c r="E8950" s="2"/>
    </row>
    <row r="8951" spans="2:5" x14ac:dyDescent="0.35">
      <c r="B8951" s="1"/>
    </row>
    <row r="8952" spans="2:5" x14ac:dyDescent="0.35">
      <c r="B8952" s="1"/>
    </row>
    <row r="8953" spans="2:5" x14ac:dyDescent="0.35">
      <c r="B8953" s="1"/>
      <c r="E8953" s="2"/>
    </row>
    <row r="8954" spans="2:5" x14ac:dyDescent="0.35">
      <c r="B8954" s="1"/>
    </row>
    <row r="8955" spans="2:5" x14ac:dyDescent="0.35">
      <c r="B8955" s="1"/>
      <c r="E8955" s="2"/>
    </row>
    <row r="8956" spans="2:5" x14ac:dyDescent="0.35">
      <c r="B8956" s="1"/>
    </row>
    <row r="8957" spans="2:5" x14ac:dyDescent="0.35">
      <c r="B8957" s="1"/>
    </row>
    <row r="8958" spans="2:5" x14ac:dyDescent="0.35">
      <c r="B8958" s="1"/>
    </row>
    <row r="8959" spans="2:5" x14ac:dyDescent="0.35">
      <c r="B8959" s="1"/>
      <c r="E8959" s="2"/>
    </row>
    <row r="8960" spans="2:5" x14ac:dyDescent="0.35">
      <c r="B8960" s="1"/>
      <c r="E8960" s="2"/>
    </row>
    <row r="8961" spans="2:5" x14ac:dyDescent="0.35">
      <c r="B8961" s="1"/>
      <c r="E8961" s="2"/>
    </row>
    <row r="8962" spans="2:5" x14ac:dyDescent="0.35">
      <c r="B8962" s="1"/>
      <c r="E8962" s="2"/>
    </row>
    <row r="8963" spans="2:5" x14ac:dyDescent="0.35">
      <c r="B8963" s="1"/>
    </row>
    <row r="8964" spans="2:5" x14ac:dyDescent="0.35">
      <c r="B8964" s="1"/>
    </row>
    <row r="8965" spans="2:5" x14ac:dyDescent="0.35">
      <c r="B8965" s="1"/>
    </row>
    <row r="8966" spans="2:5" x14ac:dyDescent="0.35">
      <c r="B8966" s="1"/>
      <c r="E8966" s="2"/>
    </row>
    <row r="8967" spans="2:5" x14ac:dyDescent="0.35">
      <c r="B8967" s="1"/>
      <c r="E8967" s="2"/>
    </row>
    <row r="8968" spans="2:5" x14ac:dyDescent="0.35">
      <c r="B8968" s="1"/>
      <c r="E8968" s="2"/>
    </row>
    <row r="8969" spans="2:5" x14ac:dyDescent="0.35">
      <c r="B8969" s="1"/>
      <c r="E8969" s="2"/>
    </row>
    <row r="8970" spans="2:5" x14ac:dyDescent="0.35">
      <c r="B8970" s="1"/>
      <c r="E8970" s="2"/>
    </row>
    <row r="8971" spans="2:5" x14ac:dyDescent="0.35">
      <c r="B8971" s="1"/>
      <c r="E8971" s="2"/>
    </row>
    <row r="8972" spans="2:5" x14ac:dyDescent="0.35">
      <c r="B8972" s="1"/>
    </row>
    <row r="8973" spans="2:5" x14ac:dyDescent="0.35">
      <c r="B8973" s="1"/>
    </row>
    <row r="8974" spans="2:5" x14ac:dyDescent="0.35">
      <c r="B8974" s="1"/>
      <c r="E8974" s="2"/>
    </row>
    <row r="8975" spans="2:5" x14ac:dyDescent="0.35">
      <c r="B8975" s="1"/>
    </row>
    <row r="8976" spans="2:5" x14ac:dyDescent="0.35">
      <c r="B8976" s="1"/>
      <c r="E8976" s="2"/>
    </row>
    <row r="8977" spans="2:5" x14ac:dyDescent="0.35">
      <c r="B8977" s="1"/>
      <c r="E8977" s="2"/>
    </row>
    <row r="8978" spans="2:5" x14ac:dyDescent="0.35">
      <c r="B8978" s="1"/>
    </row>
    <row r="8979" spans="2:5" x14ac:dyDescent="0.35">
      <c r="B8979" s="1"/>
      <c r="E8979" s="2"/>
    </row>
    <row r="8980" spans="2:5" x14ac:dyDescent="0.35">
      <c r="B8980" s="1"/>
      <c r="E8980" s="2"/>
    </row>
    <row r="8981" spans="2:5" x14ac:dyDescent="0.35">
      <c r="B8981" s="1"/>
      <c r="E8981" s="2"/>
    </row>
    <row r="8982" spans="2:5" x14ac:dyDescent="0.35">
      <c r="B8982" s="1"/>
      <c r="E8982" s="2"/>
    </row>
    <row r="8983" spans="2:5" x14ac:dyDescent="0.35">
      <c r="B8983" s="1"/>
    </row>
    <row r="8984" spans="2:5" x14ac:dyDescent="0.35">
      <c r="B8984" s="1"/>
    </row>
    <row r="8985" spans="2:5" x14ac:dyDescent="0.35">
      <c r="B8985" s="1"/>
      <c r="E8985" s="2"/>
    </row>
    <row r="8986" spans="2:5" x14ac:dyDescent="0.35">
      <c r="B8986" s="1"/>
    </row>
    <row r="8987" spans="2:5" x14ac:dyDescent="0.35">
      <c r="B8987" s="1"/>
    </row>
    <row r="8988" spans="2:5" x14ac:dyDescent="0.35">
      <c r="B8988" s="1"/>
    </row>
    <row r="8989" spans="2:5" x14ac:dyDescent="0.35">
      <c r="B8989" s="1"/>
      <c r="E8989" s="2"/>
    </row>
    <row r="8990" spans="2:5" x14ac:dyDescent="0.35">
      <c r="B8990" s="1"/>
      <c r="E8990" s="2"/>
    </row>
    <row r="8991" spans="2:5" x14ac:dyDescent="0.35">
      <c r="B8991" s="1"/>
      <c r="E8991" s="2"/>
    </row>
    <row r="8992" spans="2:5" x14ac:dyDescent="0.35">
      <c r="B8992" s="1"/>
    </row>
    <row r="8993" spans="2:5" x14ac:dyDescent="0.35">
      <c r="B8993" s="1"/>
      <c r="E8993" s="2"/>
    </row>
    <row r="8994" spans="2:5" x14ac:dyDescent="0.35">
      <c r="B8994" s="1"/>
    </row>
    <row r="8995" spans="2:5" x14ac:dyDescent="0.35">
      <c r="B8995" s="1"/>
    </row>
    <row r="8996" spans="2:5" x14ac:dyDescent="0.35">
      <c r="B8996" s="1"/>
      <c r="E8996" s="2"/>
    </row>
    <row r="8997" spans="2:5" x14ac:dyDescent="0.35">
      <c r="B8997" s="1"/>
      <c r="E8997" s="2"/>
    </row>
    <row r="8998" spans="2:5" x14ac:dyDescent="0.35">
      <c r="B8998" s="1"/>
      <c r="E8998" s="2"/>
    </row>
    <row r="8999" spans="2:5" x14ac:dyDescent="0.35">
      <c r="B8999" s="1"/>
      <c r="E8999" s="2"/>
    </row>
    <row r="9000" spans="2:5" x14ac:dyDescent="0.35">
      <c r="B9000" s="1"/>
      <c r="E9000" s="2"/>
    </row>
    <row r="9001" spans="2:5" x14ac:dyDescent="0.35">
      <c r="B9001" s="1"/>
    </row>
    <row r="9002" spans="2:5" x14ac:dyDescent="0.35">
      <c r="B9002" s="1"/>
      <c r="E9002" s="2"/>
    </row>
    <row r="9003" spans="2:5" x14ac:dyDescent="0.35">
      <c r="B9003" s="1"/>
    </row>
    <row r="9004" spans="2:5" x14ac:dyDescent="0.35">
      <c r="B9004" s="1"/>
    </row>
    <row r="9005" spans="2:5" x14ac:dyDescent="0.35">
      <c r="B9005" s="1"/>
      <c r="E9005" s="2"/>
    </row>
    <row r="9006" spans="2:5" x14ac:dyDescent="0.35">
      <c r="B9006" s="1"/>
    </row>
    <row r="9007" spans="2:5" x14ac:dyDescent="0.35">
      <c r="B9007" s="1"/>
      <c r="E9007" s="2"/>
    </row>
    <row r="9008" spans="2:5" x14ac:dyDescent="0.35">
      <c r="B9008" s="1"/>
    </row>
    <row r="9009" spans="2:5" x14ac:dyDescent="0.35">
      <c r="B9009" s="1"/>
    </row>
    <row r="9010" spans="2:5" x14ac:dyDescent="0.35">
      <c r="B9010" s="1"/>
      <c r="E9010" s="2"/>
    </row>
    <row r="9011" spans="2:5" x14ac:dyDescent="0.35">
      <c r="B9011" s="1"/>
    </row>
    <row r="9012" spans="2:5" x14ac:dyDescent="0.35">
      <c r="B9012" s="1"/>
      <c r="E9012" s="2"/>
    </row>
    <row r="9013" spans="2:5" x14ac:dyDescent="0.35">
      <c r="B9013" s="1"/>
      <c r="E9013" s="2"/>
    </row>
    <row r="9014" spans="2:5" x14ac:dyDescent="0.35">
      <c r="B9014" s="1"/>
      <c r="E9014" s="2"/>
    </row>
    <row r="9015" spans="2:5" x14ac:dyDescent="0.35">
      <c r="B9015" s="1"/>
      <c r="E9015" s="2"/>
    </row>
    <row r="9016" spans="2:5" x14ac:dyDescent="0.35">
      <c r="B9016" s="1"/>
    </row>
    <row r="9017" spans="2:5" x14ac:dyDescent="0.35">
      <c r="B9017" s="1"/>
      <c r="E9017" s="2"/>
    </row>
    <row r="9018" spans="2:5" x14ac:dyDescent="0.35">
      <c r="B9018" s="1"/>
      <c r="E9018" s="2"/>
    </row>
    <row r="9019" spans="2:5" x14ac:dyDescent="0.35">
      <c r="B9019" s="1"/>
      <c r="E9019" s="2"/>
    </row>
    <row r="9020" spans="2:5" x14ac:dyDescent="0.35">
      <c r="B9020" s="1"/>
      <c r="E9020" s="2"/>
    </row>
    <row r="9021" spans="2:5" x14ac:dyDescent="0.35">
      <c r="B9021" s="1"/>
    </row>
    <row r="9022" spans="2:5" x14ac:dyDescent="0.35">
      <c r="B9022" s="1"/>
    </row>
    <row r="9023" spans="2:5" x14ac:dyDescent="0.35">
      <c r="B9023" s="1"/>
    </row>
    <row r="9024" spans="2:5" x14ac:dyDescent="0.35">
      <c r="B9024" s="1"/>
      <c r="E9024" s="2"/>
    </row>
    <row r="9025" spans="2:5" x14ac:dyDescent="0.35">
      <c r="B9025" s="1"/>
    </row>
    <row r="9026" spans="2:5" x14ac:dyDescent="0.35">
      <c r="B9026" s="1"/>
      <c r="E9026" s="2"/>
    </row>
    <row r="9027" spans="2:5" x14ac:dyDescent="0.35">
      <c r="B9027" s="1"/>
      <c r="E9027" s="2"/>
    </row>
    <row r="9028" spans="2:5" x14ac:dyDescent="0.35">
      <c r="B9028" s="1"/>
      <c r="E9028" s="2"/>
    </row>
    <row r="9029" spans="2:5" x14ac:dyDescent="0.35">
      <c r="B9029" s="1"/>
    </row>
    <row r="9030" spans="2:5" x14ac:dyDescent="0.35">
      <c r="B9030" s="1"/>
      <c r="E9030" s="2"/>
    </row>
    <row r="9031" spans="2:5" x14ac:dyDescent="0.35">
      <c r="B9031" s="1"/>
      <c r="E9031" s="2"/>
    </row>
    <row r="9032" spans="2:5" x14ac:dyDescent="0.35">
      <c r="B9032" s="1"/>
    </row>
    <row r="9033" spans="2:5" x14ac:dyDescent="0.35">
      <c r="B9033" s="1"/>
    </row>
    <row r="9034" spans="2:5" x14ac:dyDescent="0.35">
      <c r="B9034" s="1"/>
    </row>
    <row r="9035" spans="2:5" x14ac:dyDescent="0.35">
      <c r="B9035" s="1"/>
    </row>
    <row r="9036" spans="2:5" x14ac:dyDescent="0.35">
      <c r="B9036" s="1"/>
    </row>
    <row r="9037" spans="2:5" x14ac:dyDescent="0.35">
      <c r="B9037" s="1"/>
    </row>
    <row r="9038" spans="2:5" x14ac:dyDescent="0.35">
      <c r="B9038" s="1"/>
    </row>
    <row r="9039" spans="2:5" x14ac:dyDescent="0.35">
      <c r="B9039" s="1"/>
    </row>
    <row r="9040" spans="2:5" x14ac:dyDescent="0.35">
      <c r="B9040" s="1"/>
      <c r="E9040" s="2"/>
    </row>
    <row r="9041" spans="2:5" x14ac:dyDescent="0.35">
      <c r="B9041" s="1"/>
      <c r="E9041" s="2"/>
    </row>
    <row r="9042" spans="2:5" x14ac:dyDescent="0.35">
      <c r="B9042" s="1"/>
    </row>
    <row r="9043" spans="2:5" x14ac:dyDescent="0.35">
      <c r="B9043" s="1"/>
    </row>
    <row r="9044" spans="2:5" x14ac:dyDescent="0.35">
      <c r="B9044" s="1"/>
      <c r="E9044" s="2"/>
    </row>
    <row r="9045" spans="2:5" x14ac:dyDescent="0.35">
      <c r="B9045" s="1"/>
    </row>
    <row r="9046" spans="2:5" x14ac:dyDescent="0.35">
      <c r="B9046" s="1"/>
      <c r="E9046" s="2"/>
    </row>
    <row r="9047" spans="2:5" x14ac:dyDescent="0.35">
      <c r="B9047" s="1"/>
      <c r="E9047" s="2"/>
    </row>
    <row r="9048" spans="2:5" x14ac:dyDescent="0.35">
      <c r="B9048" s="1"/>
    </row>
    <row r="9049" spans="2:5" x14ac:dyDescent="0.35">
      <c r="B9049" s="1"/>
      <c r="E9049" s="2"/>
    </row>
    <row r="9050" spans="2:5" x14ac:dyDescent="0.35">
      <c r="B9050" s="1"/>
    </row>
    <row r="9051" spans="2:5" x14ac:dyDescent="0.35">
      <c r="B9051" s="1"/>
      <c r="E9051" s="2"/>
    </row>
    <row r="9052" spans="2:5" x14ac:dyDescent="0.35">
      <c r="B9052" s="1"/>
    </row>
    <row r="9053" spans="2:5" x14ac:dyDescent="0.35">
      <c r="B9053" s="1"/>
      <c r="E9053" s="2"/>
    </row>
    <row r="9054" spans="2:5" x14ac:dyDescent="0.35">
      <c r="B9054" s="1"/>
    </row>
    <row r="9055" spans="2:5" x14ac:dyDescent="0.35">
      <c r="B9055" s="1"/>
      <c r="E9055" s="2"/>
    </row>
    <row r="9056" spans="2:5" x14ac:dyDescent="0.35">
      <c r="B9056" s="1"/>
    </row>
    <row r="9057" spans="2:5" x14ac:dyDescent="0.35">
      <c r="B9057" s="1"/>
      <c r="E9057" s="2"/>
    </row>
    <row r="9058" spans="2:5" x14ac:dyDescent="0.35">
      <c r="B9058" s="1"/>
      <c r="E9058" s="2"/>
    </row>
    <row r="9059" spans="2:5" x14ac:dyDescent="0.35">
      <c r="B9059" s="1"/>
    </row>
    <row r="9060" spans="2:5" x14ac:dyDescent="0.35">
      <c r="B9060" s="1"/>
      <c r="E9060" s="2"/>
    </row>
    <row r="9061" spans="2:5" x14ac:dyDescent="0.35">
      <c r="B9061" s="1"/>
      <c r="E9061" s="2"/>
    </row>
    <row r="9062" spans="2:5" x14ac:dyDescent="0.35">
      <c r="B9062" s="1"/>
      <c r="E9062" s="2"/>
    </row>
    <row r="9063" spans="2:5" x14ac:dyDescent="0.35">
      <c r="B9063" s="1"/>
      <c r="E9063" s="2"/>
    </row>
    <row r="9064" spans="2:5" x14ac:dyDescent="0.35">
      <c r="B9064" s="1"/>
      <c r="E9064" s="2"/>
    </row>
    <row r="9065" spans="2:5" x14ac:dyDescent="0.35">
      <c r="B9065" s="1"/>
      <c r="E9065" s="2"/>
    </row>
    <row r="9066" spans="2:5" x14ac:dyDescent="0.35">
      <c r="B9066" s="1"/>
      <c r="E9066" s="2"/>
    </row>
    <row r="9067" spans="2:5" x14ac:dyDescent="0.35">
      <c r="B9067" s="1"/>
      <c r="E9067" s="2"/>
    </row>
    <row r="9068" spans="2:5" x14ac:dyDescent="0.35">
      <c r="B9068" s="1"/>
    </row>
    <row r="9069" spans="2:5" x14ac:dyDescent="0.35">
      <c r="B9069" s="1"/>
    </row>
    <row r="9070" spans="2:5" x14ac:dyDescent="0.35">
      <c r="B9070" s="1"/>
    </row>
    <row r="9071" spans="2:5" x14ac:dyDescent="0.35">
      <c r="B9071" s="1"/>
    </row>
    <row r="9072" spans="2:5" x14ac:dyDescent="0.35">
      <c r="B9072" s="1"/>
    </row>
    <row r="9073" spans="2:5" x14ac:dyDescent="0.35">
      <c r="B9073" s="1"/>
      <c r="E9073" s="2"/>
    </row>
    <row r="9074" spans="2:5" x14ac:dyDescent="0.35">
      <c r="B9074" s="1"/>
    </row>
    <row r="9075" spans="2:5" x14ac:dyDescent="0.35">
      <c r="B9075" s="1"/>
    </row>
    <row r="9076" spans="2:5" x14ac:dyDescent="0.35">
      <c r="B9076" s="1"/>
      <c r="E9076" s="2"/>
    </row>
    <row r="9077" spans="2:5" x14ac:dyDescent="0.35">
      <c r="B9077" s="1"/>
      <c r="E9077" s="2"/>
    </row>
    <row r="9078" spans="2:5" x14ac:dyDescent="0.35">
      <c r="B9078" s="1"/>
    </row>
    <row r="9079" spans="2:5" x14ac:dyDescent="0.35">
      <c r="B9079" s="1"/>
      <c r="E9079" s="2"/>
    </row>
    <row r="9080" spans="2:5" x14ac:dyDescent="0.35">
      <c r="B9080" s="1"/>
    </row>
    <row r="9081" spans="2:5" x14ac:dyDescent="0.35">
      <c r="B9081" s="1"/>
      <c r="E9081" s="2"/>
    </row>
    <row r="9082" spans="2:5" x14ac:dyDescent="0.35">
      <c r="B9082" s="1"/>
    </row>
    <row r="9083" spans="2:5" x14ac:dyDescent="0.35">
      <c r="B9083" s="1"/>
      <c r="E9083" s="2"/>
    </row>
    <row r="9084" spans="2:5" x14ac:dyDescent="0.35">
      <c r="B9084" s="1"/>
      <c r="E9084" s="2"/>
    </row>
    <row r="9085" spans="2:5" x14ac:dyDescent="0.35">
      <c r="B9085" s="1"/>
      <c r="E9085" s="2"/>
    </row>
    <row r="9086" spans="2:5" x14ac:dyDescent="0.35">
      <c r="B9086" s="1"/>
    </row>
    <row r="9087" spans="2:5" x14ac:dyDescent="0.35">
      <c r="B9087" s="1"/>
      <c r="E9087" s="2"/>
    </row>
    <row r="9088" spans="2:5" x14ac:dyDescent="0.35">
      <c r="B9088" s="1"/>
    </row>
    <row r="9089" spans="2:5" x14ac:dyDescent="0.35">
      <c r="B9089" s="1"/>
    </row>
    <row r="9090" spans="2:5" x14ac:dyDescent="0.35">
      <c r="B9090" s="1"/>
      <c r="E9090" s="2"/>
    </row>
    <row r="9091" spans="2:5" x14ac:dyDescent="0.35">
      <c r="B9091" s="1"/>
    </row>
    <row r="9092" spans="2:5" x14ac:dyDescent="0.35">
      <c r="B9092" s="1"/>
    </row>
    <row r="9093" spans="2:5" x14ac:dyDescent="0.35">
      <c r="B9093" s="1"/>
      <c r="E9093" s="2"/>
    </row>
    <row r="9094" spans="2:5" x14ac:dyDescent="0.35">
      <c r="B9094" s="1"/>
      <c r="E9094" s="2"/>
    </row>
    <row r="9095" spans="2:5" x14ac:dyDescent="0.35">
      <c r="B9095" s="1"/>
    </row>
    <row r="9096" spans="2:5" x14ac:dyDescent="0.35">
      <c r="B9096" s="1"/>
      <c r="E9096" s="2"/>
    </row>
    <row r="9097" spans="2:5" x14ac:dyDescent="0.35">
      <c r="B9097" s="1"/>
      <c r="E9097" s="2"/>
    </row>
    <row r="9098" spans="2:5" x14ac:dyDescent="0.35">
      <c r="B9098" s="1"/>
    </row>
    <row r="9099" spans="2:5" x14ac:dyDescent="0.35">
      <c r="B9099" s="1"/>
      <c r="E9099" s="2"/>
    </row>
    <row r="9100" spans="2:5" x14ac:dyDescent="0.35">
      <c r="B9100" s="1"/>
      <c r="E9100" s="2"/>
    </row>
    <row r="9101" spans="2:5" x14ac:dyDescent="0.35">
      <c r="B9101" s="1"/>
      <c r="E9101" s="2"/>
    </row>
    <row r="9102" spans="2:5" x14ac:dyDescent="0.35">
      <c r="B9102" s="1"/>
      <c r="E9102" s="2"/>
    </row>
    <row r="9103" spans="2:5" x14ac:dyDescent="0.35">
      <c r="B9103" s="1"/>
    </row>
    <row r="9104" spans="2:5" x14ac:dyDescent="0.35">
      <c r="B9104" s="1"/>
      <c r="E9104" s="2"/>
    </row>
    <row r="9105" spans="2:5" x14ac:dyDescent="0.35">
      <c r="B9105" s="1"/>
      <c r="E9105" s="2"/>
    </row>
    <row r="9106" spans="2:5" x14ac:dyDescent="0.35">
      <c r="B9106" s="1"/>
      <c r="E9106" s="2"/>
    </row>
    <row r="9107" spans="2:5" x14ac:dyDescent="0.35">
      <c r="B9107" s="1"/>
    </row>
    <row r="9108" spans="2:5" x14ac:dyDescent="0.35">
      <c r="B9108" s="1"/>
      <c r="E9108" s="2"/>
    </row>
    <row r="9109" spans="2:5" x14ac:dyDescent="0.35">
      <c r="B9109" s="1"/>
      <c r="E9109" s="2"/>
    </row>
    <row r="9110" spans="2:5" x14ac:dyDescent="0.35">
      <c r="B9110" s="1"/>
    </row>
    <row r="9111" spans="2:5" x14ac:dyDescent="0.35">
      <c r="B9111" s="1"/>
      <c r="E9111" s="2"/>
    </row>
    <row r="9112" spans="2:5" x14ac:dyDescent="0.35">
      <c r="B9112" s="1"/>
    </row>
    <row r="9113" spans="2:5" x14ac:dyDescent="0.35">
      <c r="B9113" s="1"/>
      <c r="E9113" s="2"/>
    </row>
    <row r="9114" spans="2:5" x14ac:dyDescent="0.35">
      <c r="B9114" s="1"/>
      <c r="E9114" s="2"/>
    </row>
    <row r="9115" spans="2:5" x14ac:dyDescent="0.35">
      <c r="B9115" s="1"/>
    </row>
    <row r="9116" spans="2:5" x14ac:dyDescent="0.35">
      <c r="B9116" s="1"/>
    </row>
    <row r="9117" spans="2:5" x14ac:dyDescent="0.35">
      <c r="B9117" s="1"/>
      <c r="E9117" s="2"/>
    </row>
    <row r="9118" spans="2:5" x14ac:dyDescent="0.35">
      <c r="B9118" s="1"/>
      <c r="E9118" s="2"/>
    </row>
    <row r="9119" spans="2:5" x14ac:dyDescent="0.35">
      <c r="B9119" s="1"/>
      <c r="E9119" s="2"/>
    </row>
    <row r="9120" spans="2:5" x14ac:dyDescent="0.35">
      <c r="B9120" s="1"/>
      <c r="E9120" s="2"/>
    </row>
    <row r="9121" spans="2:5" x14ac:dyDescent="0.35">
      <c r="B9121" s="1"/>
      <c r="E9121" s="2"/>
    </row>
    <row r="9122" spans="2:5" x14ac:dyDescent="0.35">
      <c r="B9122" s="1"/>
    </row>
    <row r="9123" spans="2:5" x14ac:dyDescent="0.35">
      <c r="B9123" s="1"/>
    </row>
    <row r="9124" spans="2:5" x14ac:dyDescent="0.35">
      <c r="B9124" s="1"/>
      <c r="E9124" s="2"/>
    </row>
    <row r="9125" spans="2:5" x14ac:dyDescent="0.35">
      <c r="B9125" s="1"/>
      <c r="E9125" s="2"/>
    </row>
    <row r="9126" spans="2:5" x14ac:dyDescent="0.35">
      <c r="B9126" s="1"/>
      <c r="E9126" s="2"/>
    </row>
    <row r="9127" spans="2:5" x14ac:dyDescent="0.35">
      <c r="B9127" s="1"/>
      <c r="E9127" s="2"/>
    </row>
    <row r="9128" spans="2:5" x14ac:dyDescent="0.35">
      <c r="B9128" s="1"/>
    </row>
    <row r="9129" spans="2:5" x14ac:dyDescent="0.35">
      <c r="B9129" s="1"/>
      <c r="E9129" s="2"/>
    </row>
    <row r="9130" spans="2:5" x14ac:dyDescent="0.35">
      <c r="B9130" s="1"/>
    </row>
    <row r="9131" spans="2:5" x14ac:dyDescent="0.35">
      <c r="B9131" s="1"/>
    </row>
    <row r="9132" spans="2:5" x14ac:dyDescent="0.35">
      <c r="B9132" s="1"/>
      <c r="E9132" s="2"/>
    </row>
    <row r="9133" spans="2:5" x14ac:dyDescent="0.35">
      <c r="B9133" s="1"/>
      <c r="E9133" s="2"/>
    </row>
    <row r="9134" spans="2:5" x14ac:dyDescent="0.35">
      <c r="B9134" s="1"/>
      <c r="E9134" s="2"/>
    </row>
    <row r="9135" spans="2:5" x14ac:dyDescent="0.35">
      <c r="B9135" s="1"/>
      <c r="E9135" s="2"/>
    </row>
    <row r="9136" spans="2:5" x14ac:dyDescent="0.35">
      <c r="B9136" s="1"/>
    </row>
    <row r="9137" spans="2:5" x14ac:dyDescent="0.35">
      <c r="B9137" s="1"/>
      <c r="E9137" s="2"/>
    </row>
    <row r="9138" spans="2:5" x14ac:dyDescent="0.35">
      <c r="B9138" s="1"/>
    </row>
    <row r="9139" spans="2:5" x14ac:dyDescent="0.35">
      <c r="B9139" s="1"/>
      <c r="E9139" s="2"/>
    </row>
    <row r="9140" spans="2:5" x14ac:dyDescent="0.35">
      <c r="B9140" s="1"/>
      <c r="E9140" s="2"/>
    </row>
    <row r="9141" spans="2:5" x14ac:dyDescent="0.35">
      <c r="B9141" s="1"/>
    </row>
    <row r="9142" spans="2:5" x14ac:dyDescent="0.35">
      <c r="B9142" s="1"/>
      <c r="E9142" s="2"/>
    </row>
    <row r="9143" spans="2:5" x14ac:dyDescent="0.35">
      <c r="B9143" s="1"/>
      <c r="E9143" s="2"/>
    </row>
    <row r="9144" spans="2:5" x14ac:dyDescent="0.35">
      <c r="B9144" s="1"/>
      <c r="E9144" s="2"/>
    </row>
    <row r="9145" spans="2:5" x14ac:dyDescent="0.35">
      <c r="B9145" s="1"/>
    </row>
    <row r="9146" spans="2:5" x14ac:dyDescent="0.35">
      <c r="B9146" s="1"/>
      <c r="E9146" s="2"/>
    </row>
    <row r="9147" spans="2:5" x14ac:dyDescent="0.35">
      <c r="B9147" s="1"/>
    </row>
    <row r="9148" spans="2:5" x14ac:dyDescent="0.35">
      <c r="B9148" s="1"/>
    </row>
    <row r="9149" spans="2:5" x14ac:dyDescent="0.35">
      <c r="B9149" s="1"/>
      <c r="E9149" s="2"/>
    </row>
    <row r="9150" spans="2:5" x14ac:dyDescent="0.35">
      <c r="B9150" s="1"/>
      <c r="E9150" s="2"/>
    </row>
    <row r="9151" spans="2:5" x14ac:dyDescent="0.35">
      <c r="B9151" s="1"/>
      <c r="E9151" s="2"/>
    </row>
    <row r="9152" spans="2:5" x14ac:dyDescent="0.35">
      <c r="B9152" s="1"/>
    </row>
    <row r="9153" spans="2:5" x14ac:dyDescent="0.35">
      <c r="B9153" s="1"/>
      <c r="E9153" s="2"/>
    </row>
    <row r="9154" spans="2:5" x14ac:dyDescent="0.35">
      <c r="B9154" s="1"/>
      <c r="E9154" s="2"/>
    </row>
    <row r="9155" spans="2:5" x14ac:dyDescent="0.35">
      <c r="B9155" s="1"/>
    </row>
    <row r="9156" spans="2:5" x14ac:dyDescent="0.35">
      <c r="B9156" s="1"/>
      <c r="E9156" s="2"/>
    </row>
    <row r="9157" spans="2:5" x14ac:dyDescent="0.35">
      <c r="B9157" s="1"/>
    </row>
    <row r="9158" spans="2:5" x14ac:dyDescent="0.35">
      <c r="B9158" s="1"/>
      <c r="E9158" s="2"/>
    </row>
    <row r="9159" spans="2:5" x14ac:dyDescent="0.35">
      <c r="B9159" s="1"/>
      <c r="E9159" s="2"/>
    </row>
    <row r="9160" spans="2:5" x14ac:dyDescent="0.35">
      <c r="B9160" s="1"/>
    </row>
    <row r="9161" spans="2:5" x14ac:dyDescent="0.35">
      <c r="B9161" s="1"/>
    </row>
    <row r="9162" spans="2:5" x14ac:dyDescent="0.35">
      <c r="B9162" s="1"/>
      <c r="E9162" s="2"/>
    </row>
    <row r="9163" spans="2:5" x14ac:dyDescent="0.35">
      <c r="B9163" s="1"/>
    </row>
    <row r="9164" spans="2:5" x14ac:dyDescent="0.35">
      <c r="B9164" s="1"/>
      <c r="E9164" s="2"/>
    </row>
    <row r="9165" spans="2:5" x14ac:dyDescent="0.35">
      <c r="B9165" s="1"/>
    </row>
    <row r="9166" spans="2:5" x14ac:dyDescent="0.35">
      <c r="B9166" s="1"/>
      <c r="E9166" s="2"/>
    </row>
    <row r="9167" spans="2:5" x14ac:dyDescent="0.35">
      <c r="B9167" s="1"/>
    </row>
    <row r="9168" spans="2:5" x14ac:dyDescent="0.35">
      <c r="B9168" s="1"/>
    </row>
    <row r="9169" spans="2:5" x14ac:dyDescent="0.35">
      <c r="B9169" s="1"/>
    </row>
    <row r="9170" spans="2:5" x14ac:dyDescent="0.35">
      <c r="B9170" s="1"/>
      <c r="E9170" s="2"/>
    </row>
    <row r="9171" spans="2:5" x14ac:dyDescent="0.35">
      <c r="B9171" s="1"/>
      <c r="E9171" s="2"/>
    </row>
    <row r="9172" spans="2:5" x14ac:dyDescent="0.35">
      <c r="B9172" s="1"/>
    </row>
    <row r="9173" spans="2:5" x14ac:dyDescent="0.35">
      <c r="B9173" s="1"/>
      <c r="E9173" s="2"/>
    </row>
    <row r="9174" spans="2:5" x14ac:dyDescent="0.35">
      <c r="B9174" s="1"/>
    </row>
    <row r="9175" spans="2:5" x14ac:dyDescent="0.35">
      <c r="B9175" s="1"/>
      <c r="E9175" s="2"/>
    </row>
    <row r="9176" spans="2:5" x14ac:dyDescent="0.35">
      <c r="B9176" s="1"/>
      <c r="E9176" s="2"/>
    </row>
    <row r="9177" spans="2:5" x14ac:dyDescent="0.35">
      <c r="B9177" s="1"/>
    </row>
    <row r="9178" spans="2:5" x14ac:dyDescent="0.35">
      <c r="B9178" s="1"/>
      <c r="E9178" s="2"/>
    </row>
    <row r="9179" spans="2:5" x14ac:dyDescent="0.35">
      <c r="B9179" s="1"/>
      <c r="E9179" s="2"/>
    </row>
    <row r="9180" spans="2:5" x14ac:dyDescent="0.35">
      <c r="B9180" s="1"/>
    </row>
    <row r="9181" spans="2:5" x14ac:dyDescent="0.35">
      <c r="B9181" s="1"/>
      <c r="E9181" s="2"/>
    </row>
    <row r="9182" spans="2:5" x14ac:dyDescent="0.35">
      <c r="B9182" s="1"/>
      <c r="E9182" s="2"/>
    </row>
    <row r="9183" spans="2:5" x14ac:dyDescent="0.35">
      <c r="B9183" s="1"/>
    </row>
    <row r="9184" spans="2:5" x14ac:dyDescent="0.35">
      <c r="B9184" s="1"/>
      <c r="E9184" s="2"/>
    </row>
    <row r="9185" spans="2:5" x14ac:dyDescent="0.35">
      <c r="B9185" s="1"/>
      <c r="E9185" s="2"/>
    </row>
    <row r="9186" spans="2:5" x14ac:dyDescent="0.35">
      <c r="B9186" s="1"/>
      <c r="E9186" s="2"/>
    </row>
    <row r="9187" spans="2:5" x14ac:dyDescent="0.35">
      <c r="B9187" s="1"/>
      <c r="E9187" s="2"/>
    </row>
    <row r="9188" spans="2:5" x14ac:dyDescent="0.35">
      <c r="B9188" s="1"/>
    </row>
    <row r="9189" spans="2:5" x14ac:dyDescent="0.35">
      <c r="B9189" s="1"/>
      <c r="E9189" s="2"/>
    </row>
    <row r="9190" spans="2:5" x14ac:dyDescent="0.35">
      <c r="B9190" s="1"/>
      <c r="E9190" s="2"/>
    </row>
    <row r="9191" spans="2:5" x14ac:dyDescent="0.35">
      <c r="B9191" s="1"/>
      <c r="E9191" s="2"/>
    </row>
    <row r="9192" spans="2:5" x14ac:dyDescent="0.35">
      <c r="B9192" s="1"/>
    </row>
    <row r="9193" spans="2:5" x14ac:dyDescent="0.35">
      <c r="B9193" s="1"/>
    </row>
    <row r="9194" spans="2:5" x14ac:dyDescent="0.35">
      <c r="B9194" s="1"/>
    </row>
    <row r="9195" spans="2:5" x14ac:dyDescent="0.35">
      <c r="B9195" s="1"/>
      <c r="E9195" s="2"/>
    </row>
    <row r="9196" spans="2:5" x14ac:dyDescent="0.35">
      <c r="B9196" s="1"/>
    </row>
    <row r="9197" spans="2:5" x14ac:dyDescent="0.35">
      <c r="B9197" s="1"/>
      <c r="E9197" s="2"/>
    </row>
    <row r="9198" spans="2:5" x14ac:dyDescent="0.35">
      <c r="B9198" s="1"/>
    </row>
    <row r="9199" spans="2:5" x14ac:dyDescent="0.35">
      <c r="B9199" s="1"/>
      <c r="E9199" s="2"/>
    </row>
    <row r="9200" spans="2:5" x14ac:dyDescent="0.35">
      <c r="B9200" s="1"/>
      <c r="E9200" s="2"/>
    </row>
    <row r="9201" spans="2:5" x14ac:dyDescent="0.35">
      <c r="B9201" s="1"/>
      <c r="E9201" s="2"/>
    </row>
    <row r="9202" spans="2:5" x14ac:dyDescent="0.35">
      <c r="B9202" s="1"/>
      <c r="E9202" s="2"/>
    </row>
    <row r="9203" spans="2:5" x14ac:dyDescent="0.35">
      <c r="B9203" s="1"/>
      <c r="E9203" s="2"/>
    </row>
    <row r="9204" spans="2:5" x14ac:dyDescent="0.35">
      <c r="B9204" s="1"/>
      <c r="E9204" s="2"/>
    </row>
    <row r="9205" spans="2:5" x14ac:dyDescent="0.35">
      <c r="B9205" s="1"/>
    </row>
    <row r="9206" spans="2:5" x14ac:dyDescent="0.35">
      <c r="B9206" s="1"/>
    </row>
    <row r="9207" spans="2:5" x14ac:dyDescent="0.35">
      <c r="B9207" s="1"/>
      <c r="E9207" s="2"/>
    </row>
    <row r="9208" spans="2:5" x14ac:dyDescent="0.35">
      <c r="B9208" s="1"/>
      <c r="E9208" s="2"/>
    </row>
    <row r="9209" spans="2:5" x14ac:dyDescent="0.35">
      <c r="B9209" s="1"/>
    </row>
    <row r="9210" spans="2:5" x14ac:dyDescent="0.35">
      <c r="B9210" s="1"/>
      <c r="E9210" s="2"/>
    </row>
    <row r="9211" spans="2:5" x14ac:dyDescent="0.35">
      <c r="B9211" s="1"/>
      <c r="E9211" s="2"/>
    </row>
    <row r="9212" spans="2:5" x14ac:dyDescent="0.35">
      <c r="B9212" s="1"/>
    </row>
    <row r="9213" spans="2:5" x14ac:dyDescent="0.35">
      <c r="B9213" s="1"/>
      <c r="E9213" s="2"/>
    </row>
    <row r="9214" spans="2:5" x14ac:dyDescent="0.35">
      <c r="B9214" s="1"/>
      <c r="E9214" s="2"/>
    </row>
    <row r="9215" spans="2:5" x14ac:dyDescent="0.35">
      <c r="B9215" s="1"/>
    </row>
    <row r="9216" spans="2:5" x14ac:dyDescent="0.35">
      <c r="B9216" s="1"/>
      <c r="E9216" s="2"/>
    </row>
    <row r="9217" spans="2:5" x14ac:dyDescent="0.35">
      <c r="B9217" s="1"/>
      <c r="E9217" s="2"/>
    </row>
    <row r="9218" spans="2:5" x14ac:dyDescent="0.35">
      <c r="B9218" s="1"/>
    </row>
    <row r="9219" spans="2:5" x14ac:dyDescent="0.35">
      <c r="B9219" s="1"/>
    </row>
    <row r="9220" spans="2:5" x14ac:dyDescent="0.35">
      <c r="B9220" s="1"/>
    </row>
    <row r="9221" spans="2:5" x14ac:dyDescent="0.35">
      <c r="B9221" s="1"/>
      <c r="E9221" s="2"/>
    </row>
    <row r="9222" spans="2:5" x14ac:dyDescent="0.35">
      <c r="B9222" s="1"/>
      <c r="E9222" s="2"/>
    </row>
    <row r="9223" spans="2:5" x14ac:dyDescent="0.35">
      <c r="B9223" s="1"/>
      <c r="E9223" s="2"/>
    </row>
    <row r="9224" spans="2:5" x14ac:dyDescent="0.35">
      <c r="B9224" s="1"/>
    </row>
    <row r="9225" spans="2:5" x14ac:dyDescent="0.35">
      <c r="B9225" s="1"/>
      <c r="E9225" s="2"/>
    </row>
    <row r="9226" spans="2:5" x14ac:dyDescent="0.35">
      <c r="B9226" s="1"/>
      <c r="E9226" s="2"/>
    </row>
    <row r="9227" spans="2:5" x14ac:dyDescent="0.35">
      <c r="B9227" s="1"/>
      <c r="E9227" s="2"/>
    </row>
    <row r="9228" spans="2:5" x14ac:dyDescent="0.35">
      <c r="B9228" s="1"/>
      <c r="E9228" s="2"/>
    </row>
    <row r="9229" spans="2:5" x14ac:dyDescent="0.35">
      <c r="B9229" s="1"/>
      <c r="E9229" s="2"/>
    </row>
    <row r="9230" spans="2:5" x14ac:dyDescent="0.35">
      <c r="B9230" s="1"/>
    </row>
    <row r="9231" spans="2:5" x14ac:dyDescent="0.35">
      <c r="B9231" s="1"/>
    </row>
    <row r="9232" spans="2:5" x14ac:dyDescent="0.35">
      <c r="B9232" s="1"/>
      <c r="E9232" s="2"/>
    </row>
    <row r="9233" spans="2:5" x14ac:dyDescent="0.35">
      <c r="B9233" s="1"/>
    </row>
    <row r="9234" spans="2:5" x14ac:dyDescent="0.35">
      <c r="B9234" s="1"/>
      <c r="E9234" s="2"/>
    </row>
    <row r="9235" spans="2:5" x14ac:dyDescent="0.35">
      <c r="B9235" s="1"/>
    </row>
    <row r="9236" spans="2:5" x14ac:dyDescent="0.35">
      <c r="B9236" s="1"/>
      <c r="E9236" s="2"/>
    </row>
    <row r="9237" spans="2:5" x14ac:dyDescent="0.35">
      <c r="B9237" s="1"/>
    </row>
    <row r="9238" spans="2:5" x14ac:dyDescent="0.35">
      <c r="B9238" s="1"/>
    </row>
    <row r="9239" spans="2:5" x14ac:dyDescent="0.35">
      <c r="B9239" s="1"/>
      <c r="E9239" s="2"/>
    </row>
    <row r="9240" spans="2:5" x14ac:dyDescent="0.35">
      <c r="B9240" s="1"/>
    </row>
    <row r="9241" spans="2:5" x14ac:dyDescent="0.35">
      <c r="B9241" s="1"/>
      <c r="E9241" s="2"/>
    </row>
    <row r="9242" spans="2:5" x14ac:dyDescent="0.35">
      <c r="B9242" s="1"/>
      <c r="E9242" s="2"/>
    </row>
    <row r="9243" spans="2:5" x14ac:dyDescent="0.35">
      <c r="B9243" s="1"/>
    </row>
    <row r="9244" spans="2:5" x14ac:dyDescent="0.35">
      <c r="B9244" s="1"/>
      <c r="E9244" s="2"/>
    </row>
    <row r="9245" spans="2:5" x14ac:dyDescent="0.35">
      <c r="B9245" s="1"/>
      <c r="E9245" s="2"/>
    </row>
    <row r="9246" spans="2:5" x14ac:dyDescent="0.35">
      <c r="B9246" s="1"/>
      <c r="E9246" s="2"/>
    </row>
    <row r="9247" spans="2:5" x14ac:dyDescent="0.35">
      <c r="B9247" s="1"/>
    </row>
    <row r="9248" spans="2:5" x14ac:dyDescent="0.35">
      <c r="B9248" s="1"/>
    </row>
    <row r="9249" spans="2:5" x14ac:dyDescent="0.35">
      <c r="B9249" s="1"/>
    </row>
    <row r="9250" spans="2:5" x14ac:dyDescent="0.35">
      <c r="B9250" s="1"/>
      <c r="E9250" s="2"/>
    </row>
    <row r="9251" spans="2:5" x14ac:dyDescent="0.35">
      <c r="B9251" s="1"/>
    </row>
    <row r="9252" spans="2:5" x14ac:dyDescent="0.35">
      <c r="B9252" s="1"/>
      <c r="E9252" s="2"/>
    </row>
    <row r="9253" spans="2:5" x14ac:dyDescent="0.35">
      <c r="B9253" s="1"/>
      <c r="E9253" s="2"/>
    </row>
    <row r="9254" spans="2:5" x14ac:dyDescent="0.35">
      <c r="B9254" s="1"/>
    </row>
    <row r="9255" spans="2:5" x14ac:dyDescent="0.35">
      <c r="B9255" s="1"/>
      <c r="E9255" s="2"/>
    </row>
    <row r="9256" spans="2:5" x14ac:dyDescent="0.35">
      <c r="B9256" s="1"/>
      <c r="E9256" s="2"/>
    </row>
    <row r="9257" spans="2:5" x14ac:dyDescent="0.35">
      <c r="B9257" s="1"/>
    </row>
    <row r="9258" spans="2:5" x14ac:dyDescent="0.35">
      <c r="B9258" s="1"/>
    </row>
    <row r="9259" spans="2:5" x14ac:dyDescent="0.35">
      <c r="B9259" s="1"/>
      <c r="E9259" s="2"/>
    </row>
    <row r="9260" spans="2:5" x14ac:dyDescent="0.35">
      <c r="B9260" s="1"/>
      <c r="E9260" s="2"/>
    </row>
    <row r="9261" spans="2:5" x14ac:dyDescent="0.35">
      <c r="B9261" s="1"/>
    </row>
    <row r="9262" spans="2:5" x14ac:dyDescent="0.35">
      <c r="B9262" s="1"/>
    </row>
    <row r="9263" spans="2:5" x14ac:dyDescent="0.35">
      <c r="B9263" s="1"/>
      <c r="E9263" s="2"/>
    </row>
    <row r="9264" spans="2:5" x14ac:dyDescent="0.35">
      <c r="B9264" s="1"/>
    </row>
    <row r="9265" spans="2:5" x14ac:dyDescent="0.35">
      <c r="B9265" s="1"/>
      <c r="E9265" s="2"/>
    </row>
    <row r="9266" spans="2:5" x14ac:dyDescent="0.35">
      <c r="B9266" s="1"/>
    </row>
    <row r="9267" spans="2:5" x14ac:dyDescent="0.35">
      <c r="B9267" s="1"/>
      <c r="E9267" s="2"/>
    </row>
    <row r="9268" spans="2:5" x14ac:dyDescent="0.35">
      <c r="B9268" s="1"/>
    </row>
    <row r="9269" spans="2:5" x14ac:dyDescent="0.35">
      <c r="B9269" s="1"/>
      <c r="E9269" s="2"/>
    </row>
    <row r="9270" spans="2:5" x14ac:dyDescent="0.35">
      <c r="B9270" s="1"/>
    </row>
    <row r="9271" spans="2:5" x14ac:dyDescent="0.35">
      <c r="B9271" s="1"/>
      <c r="E9271" s="2"/>
    </row>
    <row r="9272" spans="2:5" x14ac:dyDescent="0.35">
      <c r="B9272" s="1"/>
    </row>
    <row r="9273" spans="2:5" x14ac:dyDescent="0.35">
      <c r="B9273" s="1"/>
      <c r="E9273" s="2"/>
    </row>
    <row r="9274" spans="2:5" x14ac:dyDescent="0.35">
      <c r="B9274" s="1"/>
      <c r="E9274" s="2"/>
    </row>
    <row r="9275" spans="2:5" x14ac:dyDescent="0.35">
      <c r="B9275" s="1"/>
    </row>
    <row r="9276" spans="2:5" x14ac:dyDescent="0.35">
      <c r="B9276" s="1"/>
    </row>
    <row r="9277" spans="2:5" x14ac:dyDescent="0.35">
      <c r="B9277" s="1"/>
    </row>
    <row r="9278" spans="2:5" x14ac:dyDescent="0.35">
      <c r="B9278" s="1"/>
      <c r="E9278" s="2"/>
    </row>
    <row r="9279" spans="2:5" x14ac:dyDescent="0.35">
      <c r="B9279" s="1"/>
      <c r="E9279" s="2"/>
    </row>
    <row r="9280" spans="2:5" x14ac:dyDescent="0.35">
      <c r="B9280" s="1"/>
    </row>
    <row r="9281" spans="2:5" x14ac:dyDescent="0.35">
      <c r="B9281" s="1"/>
    </row>
    <row r="9282" spans="2:5" x14ac:dyDescent="0.35">
      <c r="B9282" s="1"/>
      <c r="E9282" s="2"/>
    </row>
    <row r="9283" spans="2:5" x14ac:dyDescent="0.35">
      <c r="B9283" s="1"/>
    </row>
    <row r="9284" spans="2:5" x14ac:dyDescent="0.35">
      <c r="B9284" s="1"/>
    </row>
    <row r="9285" spans="2:5" x14ac:dyDescent="0.35">
      <c r="B9285" s="1"/>
      <c r="E9285" s="2"/>
    </row>
    <row r="9286" spans="2:5" x14ac:dyDescent="0.35">
      <c r="B9286" s="1"/>
    </row>
    <row r="9287" spans="2:5" x14ac:dyDescent="0.35">
      <c r="B9287" s="1"/>
    </row>
    <row r="9288" spans="2:5" x14ac:dyDescent="0.35">
      <c r="B9288" s="1"/>
      <c r="E9288" s="2"/>
    </row>
    <row r="9289" spans="2:5" x14ac:dyDescent="0.35">
      <c r="B9289" s="1"/>
      <c r="E9289" s="2"/>
    </row>
    <row r="9290" spans="2:5" x14ac:dyDescent="0.35">
      <c r="B9290" s="1"/>
      <c r="E9290" s="2"/>
    </row>
    <row r="9291" spans="2:5" x14ac:dyDescent="0.35">
      <c r="B9291" s="1"/>
      <c r="E9291" s="2"/>
    </row>
    <row r="9292" spans="2:5" x14ac:dyDescent="0.35">
      <c r="B9292" s="1"/>
      <c r="E9292" s="2"/>
    </row>
    <row r="9293" spans="2:5" x14ac:dyDescent="0.35">
      <c r="B9293" s="1"/>
      <c r="E9293" s="2"/>
    </row>
    <row r="9294" spans="2:5" x14ac:dyDescent="0.35">
      <c r="B9294" s="1"/>
      <c r="E9294" s="2"/>
    </row>
    <row r="9295" spans="2:5" x14ac:dyDescent="0.35">
      <c r="B9295" s="1"/>
    </row>
    <row r="9296" spans="2:5" x14ac:dyDescent="0.35">
      <c r="B9296" s="1"/>
      <c r="E9296" s="2"/>
    </row>
    <row r="9297" spans="2:5" x14ac:dyDescent="0.35">
      <c r="B9297" s="1"/>
      <c r="E9297" s="2"/>
    </row>
    <row r="9298" spans="2:5" x14ac:dyDescent="0.35">
      <c r="B9298" s="1"/>
    </row>
    <row r="9299" spans="2:5" x14ac:dyDescent="0.35">
      <c r="B9299" s="1"/>
    </row>
    <row r="9300" spans="2:5" x14ac:dyDescent="0.35">
      <c r="B9300" s="1"/>
      <c r="E9300" s="2"/>
    </row>
    <row r="9301" spans="2:5" x14ac:dyDescent="0.35">
      <c r="B9301" s="1"/>
    </row>
    <row r="9302" spans="2:5" x14ac:dyDescent="0.35">
      <c r="B9302" s="1"/>
      <c r="E9302" s="2"/>
    </row>
    <row r="9303" spans="2:5" x14ac:dyDescent="0.35">
      <c r="B9303" s="1"/>
    </row>
    <row r="9304" spans="2:5" x14ac:dyDescent="0.35">
      <c r="B9304" s="1"/>
      <c r="E9304" s="2"/>
    </row>
    <row r="9305" spans="2:5" x14ac:dyDescent="0.35">
      <c r="B9305" s="1"/>
    </row>
    <row r="9306" spans="2:5" x14ac:dyDescent="0.35">
      <c r="B9306" s="1"/>
    </row>
    <row r="9307" spans="2:5" x14ac:dyDescent="0.35">
      <c r="B9307" s="1"/>
      <c r="E9307" s="2"/>
    </row>
    <row r="9308" spans="2:5" x14ac:dyDescent="0.35">
      <c r="B9308" s="1"/>
      <c r="E9308" s="2"/>
    </row>
    <row r="9309" spans="2:5" x14ac:dyDescent="0.35">
      <c r="B9309" s="1"/>
      <c r="E9309" s="2"/>
    </row>
    <row r="9310" spans="2:5" x14ac:dyDescent="0.35">
      <c r="B9310" s="1"/>
      <c r="E9310" s="2"/>
    </row>
    <row r="9311" spans="2:5" x14ac:dyDescent="0.35">
      <c r="B9311" s="1"/>
    </row>
    <row r="9312" spans="2:5" x14ac:dyDescent="0.35">
      <c r="B9312" s="1"/>
    </row>
    <row r="9313" spans="2:5" x14ac:dyDescent="0.35">
      <c r="B9313" s="1"/>
      <c r="E9313" s="2"/>
    </row>
    <row r="9314" spans="2:5" x14ac:dyDescent="0.35">
      <c r="B9314" s="1"/>
      <c r="E9314" s="2"/>
    </row>
    <row r="9315" spans="2:5" x14ac:dyDescent="0.35">
      <c r="B9315" s="1"/>
    </row>
    <row r="9316" spans="2:5" x14ac:dyDescent="0.35">
      <c r="B9316" s="1"/>
      <c r="E9316" s="2"/>
    </row>
    <row r="9317" spans="2:5" x14ac:dyDescent="0.35">
      <c r="B9317" s="1"/>
      <c r="E9317" s="2"/>
    </row>
    <row r="9318" spans="2:5" x14ac:dyDescent="0.35">
      <c r="B9318" s="1"/>
    </row>
    <row r="9319" spans="2:5" x14ac:dyDescent="0.35">
      <c r="B9319" s="1"/>
    </row>
    <row r="9320" spans="2:5" x14ac:dyDescent="0.35">
      <c r="B9320" s="1"/>
      <c r="E9320" s="2"/>
    </row>
    <row r="9321" spans="2:5" x14ac:dyDescent="0.35">
      <c r="B9321" s="1"/>
      <c r="E9321" s="2"/>
    </row>
    <row r="9322" spans="2:5" x14ac:dyDescent="0.35">
      <c r="B9322" s="1"/>
    </row>
    <row r="9323" spans="2:5" x14ac:dyDescent="0.35">
      <c r="B9323" s="1"/>
    </row>
    <row r="9324" spans="2:5" x14ac:dyDescent="0.35">
      <c r="B9324" s="1"/>
    </row>
    <row r="9325" spans="2:5" x14ac:dyDescent="0.35">
      <c r="B9325" s="1"/>
    </row>
    <row r="9326" spans="2:5" x14ac:dyDescent="0.35">
      <c r="B9326" s="1"/>
      <c r="E9326" s="2"/>
    </row>
    <row r="9327" spans="2:5" x14ac:dyDescent="0.35">
      <c r="B9327" s="1"/>
    </row>
    <row r="9328" spans="2:5" x14ac:dyDescent="0.35">
      <c r="B9328" s="1"/>
    </row>
    <row r="9329" spans="2:5" x14ac:dyDescent="0.35">
      <c r="B9329" s="1"/>
    </row>
    <row r="9330" spans="2:5" x14ac:dyDescent="0.35">
      <c r="B9330" s="1"/>
    </row>
    <row r="9331" spans="2:5" x14ac:dyDescent="0.35">
      <c r="B9331" s="1"/>
      <c r="E9331" s="2"/>
    </row>
    <row r="9332" spans="2:5" x14ac:dyDescent="0.35">
      <c r="B9332" s="1"/>
      <c r="E9332" s="2"/>
    </row>
    <row r="9333" spans="2:5" x14ac:dyDescent="0.35">
      <c r="B9333" s="1"/>
      <c r="E9333" s="2"/>
    </row>
    <row r="9334" spans="2:5" x14ac:dyDescent="0.35">
      <c r="B9334" s="1"/>
      <c r="E9334" s="2"/>
    </row>
    <row r="9335" spans="2:5" x14ac:dyDescent="0.35">
      <c r="B9335" s="1"/>
      <c r="E9335" s="2"/>
    </row>
    <row r="9336" spans="2:5" x14ac:dyDescent="0.35">
      <c r="B9336" s="1"/>
    </row>
    <row r="9337" spans="2:5" x14ac:dyDescent="0.35">
      <c r="B9337" s="1"/>
      <c r="E9337" s="2"/>
    </row>
    <row r="9338" spans="2:5" x14ac:dyDescent="0.35">
      <c r="B9338" s="1"/>
    </row>
    <row r="9339" spans="2:5" x14ac:dyDescent="0.35">
      <c r="B9339" s="1"/>
    </row>
    <row r="9340" spans="2:5" x14ac:dyDescent="0.35">
      <c r="B9340" s="1"/>
    </row>
    <row r="9341" spans="2:5" x14ac:dyDescent="0.35">
      <c r="B9341" s="1"/>
    </row>
    <row r="9342" spans="2:5" x14ac:dyDescent="0.35">
      <c r="B9342" s="1"/>
    </row>
    <row r="9343" spans="2:5" x14ac:dyDescent="0.35">
      <c r="B9343" s="1"/>
    </row>
    <row r="9344" spans="2:5" x14ac:dyDescent="0.35">
      <c r="B9344" s="1"/>
    </row>
    <row r="9345" spans="2:5" x14ac:dyDescent="0.35">
      <c r="B9345" s="1"/>
      <c r="E9345" s="2"/>
    </row>
    <row r="9346" spans="2:5" x14ac:dyDescent="0.35">
      <c r="B9346" s="1"/>
      <c r="E9346" s="2"/>
    </row>
    <row r="9347" spans="2:5" x14ac:dyDescent="0.35">
      <c r="B9347" s="1"/>
      <c r="E9347" s="2"/>
    </row>
    <row r="9348" spans="2:5" x14ac:dyDescent="0.35">
      <c r="B9348" s="1"/>
    </row>
    <row r="9349" spans="2:5" x14ac:dyDescent="0.35">
      <c r="B9349" s="1"/>
      <c r="E9349" s="2"/>
    </row>
    <row r="9350" spans="2:5" x14ac:dyDescent="0.35">
      <c r="B9350" s="1"/>
    </row>
    <row r="9351" spans="2:5" x14ac:dyDescent="0.35">
      <c r="B9351" s="1"/>
      <c r="E9351" s="2"/>
    </row>
    <row r="9352" spans="2:5" x14ac:dyDescent="0.35">
      <c r="B9352" s="1"/>
    </row>
    <row r="9353" spans="2:5" x14ac:dyDescent="0.35">
      <c r="B9353" s="1"/>
    </row>
    <row r="9354" spans="2:5" x14ac:dyDescent="0.35">
      <c r="B9354" s="1"/>
    </row>
    <row r="9355" spans="2:5" x14ac:dyDescent="0.35">
      <c r="B9355" s="1"/>
    </row>
    <row r="9356" spans="2:5" x14ac:dyDescent="0.35">
      <c r="B9356" s="1"/>
      <c r="E9356" s="2"/>
    </row>
    <row r="9357" spans="2:5" x14ac:dyDescent="0.35">
      <c r="B9357" s="1"/>
    </row>
    <row r="9358" spans="2:5" x14ac:dyDescent="0.35">
      <c r="B9358" s="1"/>
      <c r="E9358" s="2"/>
    </row>
    <row r="9359" spans="2:5" x14ac:dyDescent="0.35">
      <c r="B9359" s="1"/>
      <c r="E9359" s="2"/>
    </row>
    <row r="9360" spans="2:5" x14ac:dyDescent="0.35">
      <c r="B9360" s="1"/>
      <c r="E9360" s="2"/>
    </row>
    <row r="9361" spans="2:5" x14ac:dyDescent="0.35">
      <c r="B9361" s="1"/>
      <c r="E9361" s="2"/>
    </row>
    <row r="9362" spans="2:5" x14ac:dyDescent="0.35">
      <c r="B9362" s="1"/>
      <c r="E9362" s="2"/>
    </row>
    <row r="9363" spans="2:5" x14ac:dyDescent="0.35">
      <c r="B9363" s="1"/>
    </row>
    <row r="9364" spans="2:5" x14ac:dyDescent="0.35">
      <c r="B9364" s="1"/>
      <c r="E9364" s="2"/>
    </row>
    <row r="9365" spans="2:5" x14ac:dyDescent="0.35">
      <c r="B9365" s="1"/>
      <c r="E9365" s="2"/>
    </row>
    <row r="9366" spans="2:5" x14ac:dyDescent="0.35">
      <c r="B9366" s="1"/>
    </row>
    <row r="9367" spans="2:5" x14ac:dyDescent="0.35">
      <c r="B9367" s="1"/>
      <c r="E9367" s="2"/>
    </row>
    <row r="9368" spans="2:5" x14ac:dyDescent="0.35">
      <c r="B9368" s="1"/>
    </row>
    <row r="9369" spans="2:5" x14ac:dyDescent="0.35">
      <c r="B9369" s="1"/>
    </row>
    <row r="9370" spans="2:5" x14ac:dyDescent="0.35">
      <c r="B9370" s="1"/>
      <c r="E9370" s="2"/>
    </row>
    <row r="9371" spans="2:5" x14ac:dyDescent="0.35">
      <c r="B9371" s="1"/>
    </row>
    <row r="9372" spans="2:5" x14ac:dyDescent="0.35">
      <c r="B9372" s="1"/>
    </row>
    <row r="9373" spans="2:5" x14ac:dyDescent="0.35">
      <c r="B9373" s="1"/>
      <c r="E9373" s="2"/>
    </row>
    <row r="9374" spans="2:5" x14ac:dyDescent="0.35">
      <c r="B9374" s="1"/>
      <c r="E9374" s="2"/>
    </row>
    <row r="9375" spans="2:5" x14ac:dyDescent="0.35">
      <c r="B9375" s="1"/>
      <c r="E9375" s="2"/>
    </row>
    <row r="9376" spans="2:5" x14ac:dyDescent="0.35">
      <c r="B9376" s="1"/>
    </row>
    <row r="9377" spans="2:5" x14ac:dyDescent="0.35">
      <c r="B9377" s="1"/>
      <c r="E9377" s="2"/>
    </row>
    <row r="9378" spans="2:5" x14ac:dyDescent="0.35">
      <c r="B9378" s="1"/>
      <c r="E9378" s="2"/>
    </row>
    <row r="9379" spans="2:5" x14ac:dyDescent="0.35">
      <c r="B9379" s="1"/>
      <c r="E9379" s="2"/>
    </row>
    <row r="9380" spans="2:5" x14ac:dyDescent="0.35">
      <c r="B9380" s="1"/>
      <c r="E9380" s="2"/>
    </row>
    <row r="9381" spans="2:5" x14ac:dyDescent="0.35">
      <c r="B9381" s="1"/>
    </row>
    <row r="9382" spans="2:5" x14ac:dyDescent="0.35">
      <c r="B9382" s="1"/>
      <c r="E9382" s="2"/>
    </row>
    <row r="9383" spans="2:5" x14ac:dyDescent="0.35">
      <c r="B9383" s="1"/>
      <c r="E9383" s="2"/>
    </row>
    <row r="9384" spans="2:5" x14ac:dyDescent="0.35">
      <c r="B9384" s="1"/>
    </row>
    <row r="9385" spans="2:5" x14ac:dyDescent="0.35">
      <c r="B9385" s="1"/>
      <c r="E9385" s="2"/>
    </row>
    <row r="9386" spans="2:5" x14ac:dyDescent="0.35">
      <c r="B9386" s="1"/>
    </row>
    <row r="9387" spans="2:5" x14ac:dyDescent="0.35">
      <c r="B9387" s="1"/>
      <c r="E9387" s="2"/>
    </row>
    <row r="9388" spans="2:5" x14ac:dyDescent="0.35">
      <c r="B9388" s="1"/>
      <c r="E9388" s="2"/>
    </row>
    <row r="9389" spans="2:5" x14ac:dyDescent="0.35">
      <c r="B9389" s="1"/>
    </row>
    <row r="9390" spans="2:5" x14ac:dyDescent="0.35">
      <c r="B9390" s="1"/>
      <c r="E9390" s="2"/>
    </row>
    <row r="9391" spans="2:5" x14ac:dyDescent="0.35">
      <c r="B9391" s="1"/>
      <c r="E9391" s="2"/>
    </row>
    <row r="9392" spans="2:5" x14ac:dyDescent="0.35">
      <c r="B9392" s="1"/>
      <c r="E9392" s="2"/>
    </row>
    <row r="9393" spans="2:5" x14ac:dyDescent="0.35">
      <c r="B9393" s="1"/>
      <c r="E9393" s="2"/>
    </row>
    <row r="9394" spans="2:5" x14ac:dyDescent="0.35">
      <c r="B9394" s="1"/>
      <c r="E9394" s="2"/>
    </row>
    <row r="9395" spans="2:5" x14ac:dyDescent="0.35">
      <c r="B9395" s="1"/>
    </row>
    <row r="9396" spans="2:5" x14ac:dyDescent="0.35">
      <c r="B9396" s="1"/>
    </row>
    <row r="9397" spans="2:5" x14ac:dyDescent="0.35">
      <c r="B9397" s="1"/>
      <c r="E9397" s="2"/>
    </row>
    <row r="9398" spans="2:5" x14ac:dyDescent="0.35">
      <c r="B9398" s="1"/>
      <c r="E9398" s="2"/>
    </row>
    <row r="9399" spans="2:5" x14ac:dyDescent="0.35">
      <c r="B9399" s="1"/>
      <c r="E9399" s="2"/>
    </row>
    <row r="9400" spans="2:5" x14ac:dyDescent="0.35">
      <c r="B9400" s="1"/>
    </row>
    <row r="9401" spans="2:5" x14ac:dyDescent="0.35">
      <c r="B9401" s="1"/>
      <c r="E9401" s="2"/>
    </row>
    <row r="9402" spans="2:5" x14ac:dyDescent="0.35">
      <c r="B9402" s="1"/>
    </row>
    <row r="9403" spans="2:5" x14ac:dyDescent="0.35">
      <c r="B9403" s="1"/>
    </row>
    <row r="9404" spans="2:5" x14ac:dyDescent="0.35">
      <c r="B9404" s="1"/>
      <c r="E9404" s="2"/>
    </row>
    <row r="9405" spans="2:5" x14ac:dyDescent="0.35">
      <c r="B9405" s="1"/>
      <c r="E9405" s="2"/>
    </row>
    <row r="9406" spans="2:5" x14ac:dyDescent="0.35">
      <c r="B9406" s="1"/>
      <c r="E9406" s="2"/>
    </row>
    <row r="9407" spans="2:5" x14ac:dyDescent="0.35">
      <c r="B9407" s="1"/>
      <c r="E9407" s="2"/>
    </row>
    <row r="9408" spans="2:5" x14ac:dyDescent="0.35">
      <c r="B9408" s="1"/>
      <c r="E9408" s="2"/>
    </row>
    <row r="9409" spans="2:5" x14ac:dyDescent="0.35">
      <c r="B9409" s="1"/>
      <c r="E9409" s="2"/>
    </row>
    <row r="9410" spans="2:5" x14ac:dyDescent="0.35">
      <c r="B9410" s="1"/>
      <c r="E9410" s="2"/>
    </row>
    <row r="9411" spans="2:5" x14ac:dyDescent="0.35">
      <c r="B9411" s="1"/>
      <c r="E9411" s="2"/>
    </row>
    <row r="9412" spans="2:5" x14ac:dyDescent="0.35">
      <c r="B9412" s="1"/>
      <c r="E9412" s="2"/>
    </row>
    <row r="9413" spans="2:5" x14ac:dyDescent="0.35">
      <c r="B9413" s="1"/>
    </row>
    <row r="9414" spans="2:5" x14ac:dyDescent="0.35">
      <c r="B9414" s="1"/>
      <c r="E9414" s="2"/>
    </row>
    <row r="9415" spans="2:5" x14ac:dyDescent="0.35">
      <c r="B9415" s="1"/>
      <c r="E9415" s="2"/>
    </row>
    <row r="9416" spans="2:5" x14ac:dyDescent="0.35">
      <c r="B9416" s="1"/>
      <c r="E9416" s="2"/>
    </row>
    <row r="9417" spans="2:5" x14ac:dyDescent="0.35">
      <c r="B9417" s="1"/>
      <c r="E9417" s="2"/>
    </row>
    <row r="9418" spans="2:5" x14ac:dyDescent="0.35">
      <c r="B9418" s="1"/>
      <c r="E9418" s="2"/>
    </row>
    <row r="9419" spans="2:5" x14ac:dyDescent="0.35">
      <c r="B9419" s="1"/>
      <c r="E9419" s="2"/>
    </row>
    <row r="9420" spans="2:5" x14ac:dyDescent="0.35">
      <c r="B9420" s="1"/>
      <c r="E9420" s="2"/>
    </row>
    <row r="9421" spans="2:5" x14ac:dyDescent="0.35">
      <c r="B9421" s="1"/>
      <c r="E9421" s="2"/>
    </row>
    <row r="9422" spans="2:5" x14ac:dyDescent="0.35">
      <c r="B9422" s="1"/>
      <c r="E9422" s="2"/>
    </row>
    <row r="9423" spans="2:5" x14ac:dyDescent="0.35">
      <c r="B9423" s="1"/>
    </row>
    <row r="9424" spans="2:5" x14ac:dyDescent="0.35">
      <c r="B9424" s="1"/>
    </row>
    <row r="9425" spans="2:5" x14ac:dyDescent="0.35">
      <c r="B9425" s="1"/>
    </row>
    <row r="9426" spans="2:5" x14ac:dyDescent="0.35">
      <c r="B9426" s="1"/>
    </row>
    <row r="9427" spans="2:5" x14ac:dyDescent="0.35">
      <c r="B9427" s="1"/>
      <c r="E9427" s="2"/>
    </row>
    <row r="9428" spans="2:5" x14ac:dyDescent="0.35">
      <c r="B9428" s="1"/>
      <c r="E9428" s="2"/>
    </row>
    <row r="9429" spans="2:5" x14ac:dyDescent="0.35">
      <c r="B9429" s="1"/>
    </row>
    <row r="9430" spans="2:5" x14ac:dyDescent="0.35">
      <c r="B9430" s="1"/>
      <c r="E9430" s="2"/>
    </row>
    <row r="9431" spans="2:5" x14ac:dyDescent="0.35">
      <c r="B9431" s="1"/>
    </row>
    <row r="9432" spans="2:5" x14ac:dyDescent="0.35">
      <c r="B9432" s="1"/>
      <c r="E9432" s="2"/>
    </row>
    <row r="9433" spans="2:5" x14ac:dyDescent="0.35">
      <c r="B9433" s="1"/>
      <c r="E9433" s="2"/>
    </row>
    <row r="9434" spans="2:5" x14ac:dyDescent="0.35">
      <c r="B9434" s="1"/>
      <c r="E9434" s="2"/>
    </row>
    <row r="9435" spans="2:5" x14ac:dyDescent="0.35">
      <c r="B9435" s="1"/>
      <c r="E9435" s="2"/>
    </row>
    <row r="9436" spans="2:5" x14ac:dyDescent="0.35">
      <c r="B9436" s="1"/>
      <c r="E9436" s="2"/>
    </row>
    <row r="9437" spans="2:5" x14ac:dyDescent="0.35">
      <c r="B9437" s="1"/>
    </row>
    <row r="9438" spans="2:5" x14ac:dyDescent="0.35">
      <c r="B9438" s="1"/>
      <c r="E9438" s="2"/>
    </row>
    <row r="9439" spans="2:5" x14ac:dyDescent="0.35">
      <c r="B9439" s="1"/>
      <c r="E9439" s="2"/>
    </row>
    <row r="9440" spans="2:5" x14ac:dyDescent="0.35">
      <c r="B9440" s="1"/>
      <c r="E9440" s="2"/>
    </row>
    <row r="9441" spans="2:5" x14ac:dyDescent="0.35">
      <c r="B9441" s="1"/>
    </row>
    <row r="9442" spans="2:5" x14ac:dyDescent="0.35">
      <c r="B9442" s="1"/>
    </row>
    <row r="9443" spans="2:5" x14ac:dyDescent="0.35">
      <c r="B9443" s="1"/>
      <c r="E9443" s="2"/>
    </row>
    <row r="9444" spans="2:5" x14ac:dyDescent="0.35">
      <c r="B9444" s="1"/>
    </row>
    <row r="9445" spans="2:5" x14ac:dyDescent="0.35">
      <c r="B9445" s="1"/>
    </row>
    <row r="9446" spans="2:5" x14ac:dyDescent="0.35">
      <c r="B9446" s="1"/>
    </row>
    <row r="9447" spans="2:5" x14ac:dyDescent="0.35">
      <c r="B9447" s="1"/>
      <c r="E9447" s="2"/>
    </row>
    <row r="9448" spans="2:5" x14ac:dyDescent="0.35">
      <c r="B9448" s="1"/>
    </row>
    <row r="9449" spans="2:5" x14ac:dyDescent="0.35">
      <c r="B9449" s="1"/>
      <c r="E9449" s="2"/>
    </row>
    <row r="9450" spans="2:5" x14ac:dyDescent="0.35">
      <c r="B9450" s="1"/>
      <c r="E9450" s="2"/>
    </row>
    <row r="9451" spans="2:5" x14ac:dyDescent="0.35">
      <c r="B9451" s="1"/>
    </row>
    <row r="9452" spans="2:5" x14ac:dyDescent="0.35">
      <c r="B9452" s="1"/>
      <c r="E9452" s="2"/>
    </row>
    <row r="9453" spans="2:5" x14ac:dyDescent="0.35">
      <c r="B9453" s="1"/>
    </row>
    <row r="9454" spans="2:5" x14ac:dyDescent="0.35">
      <c r="B9454" s="1"/>
      <c r="E9454" s="2"/>
    </row>
    <row r="9455" spans="2:5" x14ac:dyDescent="0.35">
      <c r="B9455" s="1"/>
    </row>
    <row r="9456" spans="2:5" x14ac:dyDescent="0.35">
      <c r="B9456" s="1"/>
      <c r="E9456" s="2"/>
    </row>
    <row r="9457" spans="2:5" x14ac:dyDescent="0.35">
      <c r="B9457" s="1"/>
    </row>
    <row r="9458" spans="2:5" x14ac:dyDescent="0.35">
      <c r="B9458" s="1"/>
    </row>
    <row r="9459" spans="2:5" x14ac:dyDescent="0.35">
      <c r="B9459" s="1"/>
      <c r="E9459" s="2"/>
    </row>
    <row r="9460" spans="2:5" x14ac:dyDescent="0.35">
      <c r="B9460" s="1"/>
      <c r="E9460" s="2"/>
    </row>
    <row r="9461" spans="2:5" x14ac:dyDescent="0.35">
      <c r="B9461" s="1"/>
    </row>
    <row r="9462" spans="2:5" x14ac:dyDescent="0.35">
      <c r="B9462" s="1"/>
      <c r="E9462" s="2"/>
    </row>
    <row r="9463" spans="2:5" x14ac:dyDescent="0.35">
      <c r="B9463" s="1"/>
      <c r="E9463" s="2"/>
    </row>
    <row r="9464" spans="2:5" x14ac:dyDescent="0.35">
      <c r="B9464" s="1"/>
      <c r="E9464" s="2"/>
    </row>
    <row r="9465" spans="2:5" x14ac:dyDescent="0.35">
      <c r="B9465" s="1"/>
      <c r="E9465" s="2"/>
    </row>
    <row r="9466" spans="2:5" x14ac:dyDescent="0.35">
      <c r="B9466" s="1"/>
    </row>
    <row r="9467" spans="2:5" x14ac:dyDescent="0.35">
      <c r="B9467" s="1"/>
    </row>
    <row r="9468" spans="2:5" x14ac:dyDescent="0.35">
      <c r="B9468" s="1"/>
    </row>
    <row r="9469" spans="2:5" x14ac:dyDescent="0.35">
      <c r="B9469" s="1"/>
      <c r="E9469" s="2"/>
    </row>
    <row r="9470" spans="2:5" x14ac:dyDescent="0.35">
      <c r="B9470" s="1"/>
      <c r="E9470" s="2"/>
    </row>
    <row r="9471" spans="2:5" x14ac:dyDescent="0.35">
      <c r="B9471" s="1"/>
      <c r="E9471" s="2"/>
    </row>
    <row r="9472" spans="2:5" x14ac:dyDescent="0.35">
      <c r="B9472" s="1"/>
      <c r="E9472" s="2"/>
    </row>
    <row r="9473" spans="2:5" x14ac:dyDescent="0.35">
      <c r="B9473" s="1"/>
    </row>
    <row r="9474" spans="2:5" x14ac:dyDescent="0.35">
      <c r="B9474" s="1"/>
      <c r="E9474" s="2"/>
    </row>
    <row r="9475" spans="2:5" x14ac:dyDescent="0.35">
      <c r="B9475" s="1"/>
    </row>
    <row r="9476" spans="2:5" x14ac:dyDescent="0.35">
      <c r="B9476" s="1"/>
    </row>
    <row r="9477" spans="2:5" x14ac:dyDescent="0.35">
      <c r="B9477" s="1"/>
      <c r="E9477" s="2"/>
    </row>
    <row r="9478" spans="2:5" x14ac:dyDescent="0.35">
      <c r="B9478" s="1"/>
      <c r="E9478" s="2"/>
    </row>
    <row r="9479" spans="2:5" x14ac:dyDescent="0.35">
      <c r="B9479" s="1"/>
      <c r="E9479" s="2"/>
    </row>
    <row r="9480" spans="2:5" x14ac:dyDescent="0.35">
      <c r="B9480" s="1"/>
    </row>
    <row r="9481" spans="2:5" x14ac:dyDescent="0.35">
      <c r="B9481" s="1"/>
      <c r="E9481" s="2"/>
    </row>
    <row r="9482" spans="2:5" x14ac:dyDescent="0.35">
      <c r="B9482" s="1"/>
    </row>
    <row r="9483" spans="2:5" x14ac:dyDescent="0.35">
      <c r="B9483" s="1"/>
      <c r="E9483" s="2"/>
    </row>
    <row r="9484" spans="2:5" x14ac:dyDescent="0.35">
      <c r="B9484" s="1"/>
    </row>
    <row r="9485" spans="2:5" x14ac:dyDescent="0.35">
      <c r="B9485" s="1"/>
      <c r="E9485" s="2"/>
    </row>
    <row r="9486" spans="2:5" x14ac:dyDescent="0.35">
      <c r="B9486" s="1"/>
      <c r="E9486" s="2"/>
    </row>
    <row r="9487" spans="2:5" x14ac:dyDescent="0.35">
      <c r="B9487" s="1"/>
      <c r="E9487" s="2"/>
    </row>
    <row r="9488" spans="2:5" x14ac:dyDescent="0.35">
      <c r="B9488" s="1"/>
    </row>
    <row r="9489" spans="2:5" x14ac:dyDescent="0.35">
      <c r="B9489" s="1"/>
      <c r="E9489" s="2"/>
    </row>
    <row r="9490" spans="2:5" x14ac:dyDescent="0.35">
      <c r="B9490" s="1"/>
      <c r="E9490" s="2"/>
    </row>
    <row r="9491" spans="2:5" x14ac:dyDescent="0.35">
      <c r="B9491" s="1"/>
      <c r="E9491" s="2"/>
    </row>
    <row r="9492" spans="2:5" x14ac:dyDescent="0.35">
      <c r="B9492" s="1"/>
      <c r="E9492" s="2"/>
    </row>
    <row r="9493" spans="2:5" x14ac:dyDescent="0.35">
      <c r="B9493" s="1"/>
      <c r="E9493" s="2"/>
    </row>
    <row r="9494" spans="2:5" x14ac:dyDescent="0.35">
      <c r="B9494" s="1"/>
    </row>
    <row r="9495" spans="2:5" x14ac:dyDescent="0.35">
      <c r="B9495" s="1"/>
    </row>
    <row r="9496" spans="2:5" x14ac:dyDescent="0.35">
      <c r="B9496" s="1"/>
      <c r="E9496" s="2"/>
    </row>
    <row r="9497" spans="2:5" x14ac:dyDescent="0.35">
      <c r="B9497" s="1"/>
    </row>
    <row r="9498" spans="2:5" x14ac:dyDescent="0.35">
      <c r="B9498" s="1"/>
    </row>
    <row r="9499" spans="2:5" x14ac:dyDescent="0.35">
      <c r="B9499" s="1"/>
    </row>
    <row r="9500" spans="2:5" x14ac:dyDescent="0.35">
      <c r="B9500" s="1"/>
      <c r="E9500" s="2"/>
    </row>
    <row r="9501" spans="2:5" x14ac:dyDescent="0.35">
      <c r="B9501" s="1"/>
      <c r="E9501" s="2"/>
    </row>
    <row r="9502" spans="2:5" x14ac:dyDescent="0.35">
      <c r="B9502" s="1"/>
    </row>
    <row r="9503" spans="2:5" x14ac:dyDescent="0.35">
      <c r="B9503" s="1"/>
      <c r="E9503" s="2"/>
    </row>
    <row r="9504" spans="2:5" x14ac:dyDescent="0.35">
      <c r="B9504" s="1"/>
      <c r="E9504" s="2"/>
    </row>
    <row r="9505" spans="2:5" x14ac:dyDescent="0.35">
      <c r="B9505" s="1"/>
    </row>
    <row r="9506" spans="2:5" x14ac:dyDescent="0.35">
      <c r="B9506" s="1"/>
      <c r="E9506" s="2"/>
    </row>
    <row r="9507" spans="2:5" x14ac:dyDescent="0.35">
      <c r="B9507" s="1"/>
      <c r="E9507" s="2"/>
    </row>
    <row r="9508" spans="2:5" x14ac:dyDescent="0.35">
      <c r="B9508" s="1"/>
      <c r="E9508" s="2"/>
    </row>
    <row r="9509" spans="2:5" x14ac:dyDescent="0.35">
      <c r="B9509" s="1"/>
    </row>
    <row r="9510" spans="2:5" x14ac:dyDescent="0.35">
      <c r="B9510" s="1"/>
    </row>
    <row r="9511" spans="2:5" x14ac:dyDescent="0.35">
      <c r="B9511" s="1"/>
      <c r="E9511" s="2"/>
    </row>
    <row r="9512" spans="2:5" x14ac:dyDescent="0.35">
      <c r="B9512" s="1"/>
    </row>
    <row r="9513" spans="2:5" x14ac:dyDescent="0.35">
      <c r="B9513" s="1"/>
      <c r="E9513" s="2"/>
    </row>
    <row r="9514" spans="2:5" x14ac:dyDescent="0.35">
      <c r="B9514" s="1"/>
    </row>
    <row r="9515" spans="2:5" x14ac:dyDescent="0.35">
      <c r="B9515" s="1"/>
    </row>
    <row r="9516" spans="2:5" x14ac:dyDescent="0.35">
      <c r="B9516" s="1"/>
      <c r="E9516" s="2"/>
    </row>
    <row r="9517" spans="2:5" x14ac:dyDescent="0.35">
      <c r="B9517" s="1"/>
    </row>
    <row r="9518" spans="2:5" x14ac:dyDescent="0.35">
      <c r="B9518" s="1"/>
    </row>
    <row r="9519" spans="2:5" x14ac:dyDescent="0.35">
      <c r="B9519" s="1"/>
    </row>
    <row r="9520" spans="2:5" x14ac:dyDescent="0.35">
      <c r="B9520" s="1"/>
      <c r="E9520" s="2"/>
    </row>
    <row r="9521" spans="2:5" x14ac:dyDescent="0.35">
      <c r="B9521" s="1"/>
    </row>
    <row r="9522" spans="2:5" x14ac:dyDescent="0.35">
      <c r="B9522" s="1"/>
      <c r="E9522" s="2"/>
    </row>
    <row r="9523" spans="2:5" x14ac:dyDescent="0.35">
      <c r="B9523" s="1"/>
      <c r="E9523" s="2"/>
    </row>
    <row r="9524" spans="2:5" x14ac:dyDescent="0.35">
      <c r="B9524" s="1"/>
    </row>
    <row r="9525" spans="2:5" x14ac:dyDescent="0.35">
      <c r="B9525" s="1"/>
    </row>
    <row r="9526" spans="2:5" x14ac:dyDescent="0.35">
      <c r="B9526" s="1"/>
    </row>
    <row r="9527" spans="2:5" x14ac:dyDescent="0.35">
      <c r="B9527" s="1"/>
      <c r="E9527" s="2"/>
    </row>
    <row r="9528" spans="2:5" x14ac:dyDescent="0.35">
      <c r="B9528" s="1"/>
      <c r="E9528" s="2"/>
    </row>
    <row r="9529" spans="2:5" x14ac:dyDescent="0.35">
      <c r="B9529" s="1"/>
    </row>
    <row r="9530" spans="2:5" x14ac:dyDescent="0.35">
      <c r="B9530" s="1"/>
      <c r="E9530" s="2"/>
    </row>
    <row r="9531" spans="2:5" x14ac:dyDescent="0.35">
      <c r="B9531" s="1"/>
      <c r="E9531" s="2"/>
    </row>
    <row r="9532" spans="2:5" x14ac:dyDescent="0.35">
      <c r="B9532" s="1"/>
    </row>
    <row r="9533" spans="2:5" x14ac:dyDescent="0.35">
      <c r="B9533" s="1"/>
    </row>
    <row r="9534" spans="2:5" x14ac:dyDescent="0.35">
      <c r="B9534" s="1"/>
    </row>
    <row r="9535" spans="2:5" x14ac:dyDescent="0.35">
      <c r="B9535" s="1"/>
      <c r="E9535" s="2"/>
    </row>
    <row r="9536" spans="2:5" x14ac:dyDescent="0.35">
      <c r="B9536" s="1"/>
    </row>
    <row r="9537" spans="2:5" x14ac:dyDescent="0.35">
      <c r="B9537" s="1"/>
    </row>
    <row r="9538" spans="2:5" x14ac:dyDescent="0.35">
      <c r="B9538" s="1"/>
    </row>
    <row r="9539" spans="2:5" x14ac:dyDescent="0.35">
      <c r="B9539" s="1"/>
      <c r="E9539" s="2"/>
    </row>
    <row r="9540" spans="2:5" x14ac:dyDescent="0.35">
      <c r="B9540" s="1"/>
      <c r="E9540" s="2"/>
    </row>
    <row r="9541" spans="2:5" x14ac:dyDescent="0.35">
      <c r="B9541" s="1"/>
      <c r="E9541" s="2"/>
    </row>
    <row r="9542" spans="2:5" x14ac:dyDescent="0.35">
      <c r="B9542" s="1"/>
      <c r="E9542" s="2"/>
    </row>
    <row r="9543" spans="2:5" x14ac:dyDescent="0.35">
      <c r="B9543" s="1"/>
    </row>
    <row r="9544" spans="2:5" x14ac:dyDescent="0.35">
      <c r="B9544" s="1"/>
      <c r="E9544" s="2"/>
    </row>
    <row r="9545" spans="2:5" x14ac:dyDescent="0.35">
      <c r="B9545" s="1"/>
    </row>
    <row r="9546" spans="2:5" x14ac:dyDescent="0.35">
      <c r="B9546" s="1"/>
    </row>
    <row r="9547" spans="2:5" x14ac:dyDescent="0.35">
      <c r="B9547" s="1"/>
    </row>
    <row r="9548" spans="2:5" x14ac:dyDescent="0.35">
      <c r="B9548" s="1"/>
    </row>
    <row r="9549" spans="2:5" x14ac:dyDescent="0.35">
      <c r="B9549" s="1"/>
      <c r="E9549" s="2"/>
    </row>
    <row r="9550" spans="2:5" x14ac:dyDescent="0.35">
      <c r="B9550" s="1"/>
      <c r="E9550" s="2"/>
    </row>
    <row r="9551" spans="2:5" x14ac:dyDescent="0.35">
      <c r="B9551" s="1"/>
    </row>
    <row r="9552" spans="2:5" x14ac:dyDescent="0.35">
      <c r="B9552" s="1"/>
    </row>
    <row r="9553" spans="2:5" x14ac:dyDescent="0.35">
      <c r="B9553" s="1"/>
      <c r="E9553" s="2"/>
    </row>
    <row r="9554" spans="2:5" x14ac:dyDescent="0.35">
      <c r="B9554" s="1"/>
    </row>
    <row r="9555" spans="2:5" x14ac:dyDescent="0.35">
      <c r="B9555" s="1"/>
    </row>
    <row r="9556" spans="2:5" x14ac:dyDescent="0.35">
      <c r="B9556" s="1"/>
    </row>
    <row r="9557" spans="2:5" x14ac:dyDescent="0.35">
      <c r="B9557" s="1"/>
      <c r="E9557" s="2"/>
    </row>
    <row r="9558" spans="2:5" x14ac:dyDescent="0.35">
      <c r="B9558" s="1"/>
      <c r="E9558" s="2"/>
    </row>
    <row r="9559" spans="2:5" x14ac:dyDescent="0.35">
      <c r="B9559" s="1"/>
      <c r="E9559" s="2"/>
    </row>
    <row r="9560" spans="2:5" x14ac:dyDescent="0.35">
      <c r="B9560" s="1"/>
      <c r="E9560" s="2"/>
    </row>
    <row r="9561" spans="2:5" x14ac:dyDescent="0.35">
      <c r="B9561" s="1"/>
      <c r="E9561" s="2"/>
    </row>
    <row r="9562" spans="2:5" x14ac:dyDescent="0.35">
      <c r="B9562" s="1"/>
    </row>
    <row r="9563" spans="2:5" x14ac:dyDescent="0.35">
      <c r="B9563" s="1"/>
    </row>
    <row r="9564" spans="2:5" x14ac:dyDescent="0.35">
      <c r="B9564" s="1"/>
    </row>
    <row r="9565" spans="2:5" x14ac:dyDescent="0.35">
      <c r="B9565" s="1"/>
    </row>
    <row r="9566" spans="2:5" x14ac:dyDescent="0.35">
      <c r="B9566" s="1"/>
    </row>
    <row r="9567" spans="2:5" x14ac:dyDescent="0.35">
      <c r="B9567" s="1"/>
      <c r="E9567" s="2"/>
    </row>
    <row r="9568" spans="2:5" x14ac:dyDescent="0.35">
      <c r="B9568" s="1"/>
      <c r="E9568" s="2"/>
    </row>
    <row r="9569" spans="2:5" x14ac:dyDescent="0.35">
      <c r="B9569" s="1"/>
      <c r="E9569" s="2"/>
    </row>
    <row r="9570" spans="2:5" x14ac:dyDescent="0.35">
      <c r="B9570" s="1"/>
      <c r="E9570" s="2"/>
    </row>
    <row r="9571" spans="2:5" x14ac:dyDescent="0.35">
      <c r="B9571" s="1"/>
    </row>
    <row r="9572" spans="2:5" x14ac:dyDescent="0.35">
      <c r="B9572" s="1"/>
    </row>
    <row r="9573" spans="2:5" x14ac:dyDescent="0.35">
      <c r="B9573" s="1"/>
      <c r="E9573" s="2"/>
    </row>
    <row r="9574" spans="2:5" x14ac:dyDescent="0.35">
      <c r="B9574" s="1"/>
      <c r="E9574" s="2"/>
    </row>
    <row r="9575" spans="2:5" x14ac:dyDescent="0.35">
      <c r="B9575" s="1"/>
      <c r="E9575" s="2"/>
    </row>
    <row r="9576" spans="2:5" x14ac:dyDescent="0.35">
      <c r="B9576" s="1"/>
    </row>
    <row r="9577" spans="2:5" x14ac:dyDescent="0.35">
      <c r="B9577" s="1"/>
      <c r="E9577" s="2"/>
    </row>
    <row r="9578" spans="2:5" x14ac:dyDescent="0.35">
      <c r="B9578" s="1"/>
    </row>
    <row r="9579" spans="2:5" x14ac:dyDescent="0.35">
      <c r="B9579" s="1"/>
      <c r="E9579" s="2"/>
    </row>
    <row r="9580" spans="2:5" x14ac:dyDescent="0.35">
      <c r="B9580" s="1"/>
      <c r="E9580" s="2"/>
    </row>
    <row r="9581" spans="2:5" x14ac:dyDescent="0.35">
      <c r="B9581" s="1"/>
      <c r="E9581" s="2"/>
    </row>
    <row r="9582" spans="2:5" x14ac:dyDescent="0.35">
      <c r="B9582" s="1"/>
      <c r="E9582" s="2"/>
    </row>
    <row r="9583" spans="2:5" x14ac:dyDescent="0.35">
      <c r="B9583" s="1"/>
      <c r="E9583" s="2"/>
    </row>
    <row r="9584" spans="2:5" x14ac:dyDescent="0.35">
      <c r="B9584" s="1"/>
      <c r="E9584" s="2"/>
    </row>
    <row r="9585" spans="2:5" x14ac:dyDescent="0.35">
      <c r="B9585" s="1"/>
      <c r="E9585" s="2"/>
    </row>
    <row r="9586" spans="2:5" x14ac:dyDescent="0.35">
      <c r="B9586" s="1"/>
      <c r="E9586" s="2"/>
    </row>
    <row r="9587" spans="2:5" x14ac:dyDescent="0.35">
      <c r="B9587" s="1"/>
      <c r="E9587" s="2"/>
    </row>
    <row r="9588" spans="2:5" x14ac:dyDescent="0.35">
      <c r="B9588" s="1"/>
    </row>
    <row r="9589" spans="2:5" x14ac:dyDescent="0.35">
      <c r="B9589" s="1"/>
    </row>
    <row r="9590" spans="2:5" x14ac:dyDescent="0.35">
      <c r="B9590" s="1"/>
      <c r="E9590" s="2"/>
    </row>
    <row r="9591" spans="2:5" x14ac:dyDescent="0.35">
      <c r="B9591" s="1"/>
    </row>
    <row r="9592" spans="2:5" x14ac:dyDescent="0.35">
      <c r="B9592" s="1"/>
    </row>
    <row r="9593" spans="2:5" x14ac:dyDescent="0.35">
      <c r="B9593" s="1"/>
      <c r="E9593" s="2"/>
    </row>
    <row r="9594" spans="2:5" x14ac:dyDescent="0.35">
      <c r="B9594" s="1"/>
    </row>
    <row r="9595" spans="2:5" x14ac:dyDescent="0.35">
      <c r="B9595" s="1"/>
    </row>
    <row r="9596" spans="2:5" x14ac:dyDescent="0.35">
      <c r="B9596" s="1"/>
    </row>
    <row r="9597" spans="2:5" x14ac:dyDescent="0.35">
      <c r="B9597" s="1"/>
      <c r="E9597" s="2"/>
    </row>
    <row r="9598" spans="2:5" x14ac:dyDescent="0.35">
      <c r="B9598" s="1"/>
      <c r="E9598" s="2"/>
    </row>
    <row r="9599" spans="2:5" x14ac:dyDescent="0.35">
      <c r="B9599" s="1"/>
      <c r="E9599" s="2"/>
    </row>
    <row r="9600" spans="2:5" x14ac:dyDescent="0.35">
      <c r="B9600" s="1"/>
      <c r="E9600" s="2"/>
    </row>
    <row r="9601" spans="2:5" x14ac:dyDescent="0.35">
      <c r="B9601" s="1"/>
      <c r="E9601" s="2"/>
    </row>
    <row r="9602" spans="2:5" x14ac:dyDescent="0.35">
      <c r="B9602" s="1"/>
    </row>
    <row r="9603" spans="2:5" x14ac:dyDescent="0.35">
      <c r="B9603" s="1"/>
      <c r="E9603" s="2"/>
    </row>
    <row r="9604" spans="2:5" x14ac:dyDescent="0.35">
      <c r="B9604" s="1"/>
      <c r="E9604" s="2"/>
    </row>
    <row r="9605" spans="2:5" x14ac:dyDescent="0.35">
      <c r="B9605" s="1"/>
      <c r="E9605" s="2"/>
    </row>
    <row r="9606" spans="2:5" x14ac:dyDescent="0.35">
      <c r="B9606" s="1"/>
    </row>
    <row r="9607" spans="2:5" x14ac:dyDescent="0.35">
      <c r="B9607" s="1"/>
      <c r="E9607" s="2"/>
    </row>
    <row r="9608" spans="2:5" x14ac:dyDescent="0.35">
      <c r="B9608" s="1"/>
      <c r="E9608" s="2"/>
    </row>
    <row r="9609" spans="2:5" x14ac:dyDescent="0.35">
      <c r="B9609" s="1"/>
      <c r="E9609" s="2"/>
    </row>
    <row r="9610" spans="2:5" x14ac:dyDescent="0.35">
      <c r="B9610" s="1"/>
      <c r="E9610" s="2"/>
    </row>
    <row r="9611" spans="2:5" x14ac:dyDescent="0.35">
      <c r="B9611" s="1"/>
    </row>
    <row r="9612" spans="2:5" x14ac:dyDescent="0.35">
      <c r="B9612" s="1"/>
      <c r="E9612" s="2"/>
    </row>
    <row r="9613" spans="2:5" x14ac:dyDescent="0.35">
      <c r="B9613" s="1"/>
    </row>
    <row r="9614" spans="2:5" x14ac:dyDescent="0.35">
      <c r="B9614" s="1"/>
      <c r="E9614" s="2"/>
    </row>
    <row r="9615" spans="2:5" x14ac:dyDescent="0.35">
      <c r="B9615" s="1"/>
    </row>
    <row r="9616" spans="2:5" x14ac:dyDescent="0.35">
      <c r="B9616" s="1"/>
    </row>
    <row r="9617" spans="2:5" x14ac:dyDescent="0.35">
      <c r="B9617" s="1"/>
      <c r="E9617" s="2"/>
    </row>
    <row r="9618" spans="2:5" x14ac:dyDescent="0.35">
      <c r="B9618" s="1"/>
      <c r="E9618" s="2"/>
    </row>
    <row r="9619" spans="2:5" x14ac:dyDescent="0.35">
      <c r="B9619" s="1"/>
    </row>
    <row r="9620" spans="2:5" x14ac:dyDescent="0.35">
      <c r="B9620" s="1"/>
      <c r="E9620" s="2"/>
    </row>
    <row r="9621" spans="2:5" x14ac:dyDescent="0.35">
      <c r="B9621" s="1"/>
      <c r="E9621" s="2"/>
    </row>
    <row r="9622" spans="2:5" x14ac:dyDescent="0.35">
      <c r="B9622" s="1"/>
      <c r="E9622" s="2"/>
    </row>
    <row r="9623" spans="2:5" x14ac:dyDescent="0.35">
      <c r="B9623" s="1"/>
    </row>
    <row r="9624" spans="2:5" x14ac:dyDescent="0.35">
      <c r="B9624" s="1"/>
    </row>
    <row r="9625" spans="2:5" x14ac:dyDescent="0.35">
      <c r="B9625" s="1"/>
      <c r="E9625" s="2"/>
    </row>
    <row r="9626" spans="2:5" x14ac:dyDescent="0.35">
      <c r="B9626" s="1"/>
    </row>
    <row r="9627" spans="2:5" x14ac:dyDescent="0.35">
      <c r="B9627" s="1"/>
    </row>
    <row r="9628" spans="2:5" x14ac:dyDescent="0.35">
      <c r="B9628" s="1"/>
    </row>
    <row r="9629" spans="2:5" x14ac:dyDescent="0.35">
      <c r="B9629" s="1"/>
      <c r="E9629" s="2"/>
    </row>
    <row r="9630" spans="2:5" x14ac:dyDescent="0.35">
      <c r="B9630" s="1"/>
      <c r="E9630" s="2"/>
    </row>
    <row r="9631" spans="2:5" x14ac:dyDescent="0.35">
      <c r="B9631" s="1"/>
      <c r="E9631" s="2"/>
    </row>
    <row r="9632" spans="2:5" x14ac:dyDescent="0.35">
      <c r="B9632" s="1"/>
      <c r="E9632" s="2"/>
    </row>
    <row r="9633" spans="2:5" x14ac:dyDescent="0.35">
      <c r="B9633" s="1"/>
    </row>
    <row r="9634" spans="2:5" x14ac:dyDescent="0.35">
      <c r="B9634" s="1"/>
      <c r="E9634" s="2"/>
    </row>
    <row r="9635" spans="2:5" x14ac:dyDescent="0.35">
      <c r="B9635" s="1"/>
      <c r="E9635" s="2"/>
    </row>
    <row r="9636" spans="2:5" x14ac:dyDescent="0.35">
      <c r="B9636" s="1"/>
      <c r="E9636" s="2"/>
    </row>
    <row r="9637" spans="2:5" x14ac:dyDescent="0.35">
      <c r="B9637" s="1"/>
    </row>
    <row r="9638" spans="2:5" x14ac:dyDescent="0.35">
      <c r="B9638" s="1"/>
    </row>
    <row r="9639" spans="2:5" x14ac:dyDescent="0.35">
      <c r="B9639" s="1"/>
      <c r="E9639" s="2"/>
    </row>
    <row r="9640" spans="2:5" x14ac:dyDescent="0.35">
      <c r="B9640" s="1"/>
    </row>
    <row r="9641" spans="2:5" x14ac:dyDescent="0.35">
      <c r="B9641" s="1"/>
      <c r="E9641" s="2"/>
    </row>
    <row r="9642" spans="2:5" x14ac:dyDescent="0.35">
      <c r="B9642" s="1"/>
      <c r="E9642" s="2"/>
    </row>
    <row r="9643" spans="2:5" x14ac:dyDescent="0.35">
      <c r="B9643" s="1"/>
    </row>
    <row r="9644" spans="2:5" x14ac:dyDescent="0.35">
      <c r="B9644" s="1"/>
    </row>
    <row r="9645" spans="2:5" x14ac:dyDescent="0.35">
      <c r="B9645" s="1"/>
      <c r="E9645" s="2"/>
    </row>
    <row r="9646" spans="2:5" x14ac:dyDescent="0.35">
      <c r="B9646" s="1"/>
    </row>
    <row r="9647" spans="2:5" x14ac:dyDescent="0.35">
      <c r="B9647" s="1"/>
    </row>
    <row r="9648" spans="2:5" x14ac:dyDescent="0.35">
      <c r="B9648" s="1"/>
      <c r="E9648" s="2"/>
    </row>
    <row r="9649" spans="2:5" x14ac:dyDescent="0.35">
      <c r="B9649" s="1"/>
    </row>
    <row r="9650" spans="2:5" x14ac:dyDescent="0.35">
      <c r="B9650" s="1"/>
      <c r="E9650" s="2"/>
    </row>
    <row r="9651" spans="2:5" x14ac:dyDescent="0.35">
      <c r="B9651" s="1"/>
      <c r="E9651" s="2"/>
    </row>
    <row r="9652" spans="2:5" x14ac:dyDescent="0.35">
      <c r="B9652" s="1"/>
      <c r="E9652" s="2"/>
    </row>
    <row r="9653" spans="2:5" x14ac:dyDescent="0.35">
      <c r="B9653" s="1"/>
      <c r="E9653" s="2"/>
    </row>
    <row r="9654" spans="2:5" x14ac:dyDescent="0.35">
      <c r="B9654" s="1"/>
      <c r="E9654" s="2"/>
    </row>
    <row r="9655" spans="2:5" x14ac:dyDescent="0.35">
      <c r="B9655" s="1"/>
    </row>
    <row r="9656" spans="2:5" x14ac:dyDescent="0.35">
      <c r="B9656" s="1"/>
    </row>
    <row r="9657" spans="2:5" x14ac:dyDescent="0.35">
      <c r="B9657" s="1"/>
    </row>
    <row r="9658" spans="2:5" x14ac:dyDescent="0.35">
      <c r="B9658" s="1"/>
    </row>
    <row r="9659" spans="2:5" x14ac:dyDescent="0.35">
      <c r="B9659" s="1"/>
      <c r="E9659" s="2"/>
    </row>
    <row r="9660" spans="2:5" x14ac:dyDescent="0.35">
      <c r="B9660" s="1"/>
      <c r="E9660" s="2"/>
    </row>
    <row r="9661" spans="2:5" x14ac:dyDescent="0.35">
      <c r="B9661" s="1"/>
      <c r="E9661" s="2"/>
    </row>
    <row r="9662" spans="2:5" x14ac:dyDescent="0.35">
      <c r="B9662" s="1"/>
    </row>
    <row r="9663" spans="2:5" x14ac:dyDescent="0.35">
      <c r="B9663" s="1"/>
      <c r="E9663" s="2"/>
    </row>
    <row r="9664" spans="2:5" x14ac:dyDescent="0.35">
      <c r="B9664" s="1"/>
    </row>
    <row r="9665" spans="2:5" x14ac:dyDescent="0.35">
      <c r="B9665" s="1"/>
    </row>
    <row r="9666" spans="2:5" x14ac:dyDescent="0.35">
      <c r="B9666" s="1"/>
      <c r="E9666" s="2"/>
    </row>
    <row r="9667" spans="2:5" x14ac:dyDescent="0.35">
      <c r="B9667" s="1"/>
    </row>
    <row r="9668" spans="2:5" x14ac:dyDescent="0.35">
      <c r="B9668" s="1"/>
      <c r="E9668" s="2"/>
    </row>
    <row r="9669" spans="2:5" x14ac:dyDescent="0.35">
      <c r="B9669" s="1"/>
      <c r="E9669" s="2"/>
    </row>
    <row r="9670" spans="2:5" x14ac:dyDescent="0.35">
      <c r="B9670" s="1"/>
      <c r="E9670" s="2"/>
    </row>
    <row r="9671" spans="2:5" x14ac:dyDescent="0.35">
      <c r="B9671" s="1"/>
      <c r="E9671" s="2"/>
    </row>
    <row r="9672" spans="2:5" x14ac:dyDescent="0.35">
      <c r="B9672" s="1"/>
      <c r="E9672" s="2"/>
    </row>
    <row r="9673" spans="2:5" x14ac:dyDescent="0.35">
      <c r="B9673" s="1"/>
      <c r="E9673" s="2"/>
    </row>
    <row r="9674" spans="2:5" x14ac:dyDescent="0.35">
      <c r="B9674" s="1"/>
    </row>
    <row r="9675" spans="2:5" x14ac:dyDescent="0.35">
      <c r="B9675" s="1"/>
    </row>
    <row r="9676" spans="2:5" x14ac:dyDescent="0.35">
      <c r="B9676" s="1"/>
      <c r="E9676" s="2"/>
    </row>
    <row r="9677" spans="2:5" x14ac:dyDescent="0.35">
      <c r="B9677" s="1"/>
      <c r="E9677" s="2"/>
    </row>
    <row r="9678" spans="2:5" x14ac:dyDescent="0.35">
      <c r="B9678" s="1"/>
      <c r="E9678" s="2"/>
    </row>
    <row r="9679" spans="2:5" x14ac:dyDescent="0.35">
      <c r="B9679" s="1"/>
      <c r="E9679" s="2"/>
    </row>
    <row r="9680" spans="2:5" x14ac:dyDescent="0.35">
      <c r="B9680" s="1"/>
      <c r="E9680" s="2"/>
    </row>
    <row r="9681" spans="2:5" x14ac:dyDescent="0.35">
      <c r="B9681" s="1"/>
      <c r="E9681" s="2"/>
    </row>
    <row r="9682" spans="2:5" x14ac:dyDescent="0.35">
      <c r="B9682" s="1"/>
      <c r="E9682" s="2"/>
    </row>
    <row r="9683" spans="2:5" x14ac:dyDescent="0.35">
      <c r="B9683" s="1"/>
    </row>
    <row r="9684" spans="2:5" x14ac:dyDescent="0.35">
      <c r="B9684" s="1"/>
    </row>
    <row r="9685" spans="2:5" x14ac:dyDescent="0.35">
      <c r="B9685" s="1"/>
      <c r="E9685" s="2"/>
    </row>
    <row r="9686" spans="2:5" x14ac:dyDescent="0.35">
      <c r="B9686" s="1"/>
    </row>
    <row r="9687" spans="2:5" x14ac:dyDescent="0.35">
      <c r="B9687" s="1"/>
      <c r="E9687" s="2"/>
    </row>
    <row r="9688" spans="2:5" x14ac:dyDescent="0.35">
      <c r="B9688" s="1"/>
    </row>
    <row r="9689" spans="2:5" x14ac:dyDescent="0.35">
      <c r="B9689" s="1"/>
    </row>
    <row r="9690" spans="2:5" x14ac:dyDescent="0.35">
      <c r="B9690" s="1"/>
    </row>
    <row r="9691" spans="2:5" x14ac:dyDescent="0.35">
      <c r="B9691" s="1"/>
    </row>
    <row r="9692" spans="2:5" x14ac:dyDescent="0.35">
      <c r="B9692" s="1"/>
      <c r="E9692" s="2"/>
    </row>
    <row r="9693" spans="2:5" x14ac:dyDescent="0.35">
      <c r="B9693" s="1"/>
      <c r="E9693" s="2"/>
    </row>
    <row r="9694" spans="2:5" x14ac:dyDescent="0.35">
      <c r="B9694" s="1"/>
    </row>
    <row r="9695" spans="2:5" x14ac:dyDescent="0.35">
      <c r="B9695" s="1"/>
      <c r="E9695" s="2"/>
    </row>
    <row r="9696" spans="2:5" x14ac:dyDescent="0.35">
      <c r="B9696" s="1"/>
    </row>
    <row r="9697" spans="2:5" x14ac:dyDescent="0.35">
      <c r="B9697" s="1"/>
      <c r="E9697" s="2"/>
    </row>
    <row r="9698" spans="2:5" x14ac:dyDescent="0.35">
      <c r="B9698" s="1"/>
    </row>
    <row r="9699" spans="2:5" x14ac:dyDescent="0.35">
      <c r="B9699" s="1"/>
      <c r="E9699" s="2"/>
    </row>
    <row r="9700" spans="2:5" x14ac:dyDescent="0.35">
      <c r="B9700" s="1"/>
    </row>
    <row r="9701" spans="2:5" x14ac:dyDescent="0.35">
      <c r="B9701" s="1"/>
      <c r="E9701" s="2"/>
    </row>
    <row r="9702" spans="2:5" x14ac:dyDescent="0.35">
      <c r="B9702" s="1"/>
      <c r="E9702" s="2"/>
    </row>
    <row r="9703" spans="2:5" x14ac:dyDescent="0.35">
      <c r="B9703" s="1"/>
    </row>
    <row r="9704" spans="2:5" x14ac:dyDescent="0.35">
      <c r="B9704" s="1"/>
      <c r="E9704" s="2"/>
    </row>
    <row r="9705" spans="2:5" x14ac:dyDescent="0.35">
      <c r="B9705" s="1"/>
    </row>
    <row r="9706" spans="2:5" x14ac:dyDescent="0.35">
      <c r="B9706" s="1"/>
    </row>
    <row r="9707" spans="2:5" x14ac:dyDescent="0.35">
      <c r="B9707" s="1"/>
    </row>
    <row r="9708" spans="2:5" x14ac:dyDescent="0.35">
      <c r="B9708" s="1"/>
      <c r="E9708" s="2"/>
    </row>
    <row r="9709" spans="2:5" x14ac:dyDescent="0.35">
      <c r="B9709" s="1"/>
      <c r="E9709" s="2"/>
    </row>
    <row r="9710" spans="2:5" x14ac:dyDescent="0.35">
      <c r="B9710" s="1"/>
    </row>
    <row r="9711" spans="2:5" x14ac:dyDescent="0.35">
      <c r="B9711" s="1"/>
      <c r="E9711" s="2"/>
    </row>
    <row r="9712" spans="2:5" x14ac:dyDescent="0.35">
      <c r="B9712" s="1"/>
    </row>
    <row r="9713" spans="2:5" x14ac:dyDescent="0.35">
      <c r="B9713" s="1"/>
    </row>
    <row r="9714" spans="2:5" x14ac:dyDescent="0.35">
      <c r="B9714" s="1"/>
    </row>
    <row r="9715" spans="2:5" x14ac:dyDescent="0.35">
      <c r="B9715" s="1"/>
      <c r="E9715" s="2"/>
    </row>
    <row r="9716" spans="2:5" x14ac:dyDescent="0.35">
      <c r="B9716" s="1"/>
      <c r="E9716" s="2"/>
    </row>
    <row r="9717" spans="2:5" x14ac:dyDescent="0.35">
      <c r="B9717" s="1"/>
    </row>
    <row r="9718" spans="2:5" x14ac:dyDescent="0.35">
      <c r="B9718" s="1"/>
    </row>
    <row r="9719" spans="2:5" x14ac:dyDescent="0.35">
      <c r="B9719" s="1"/>
      <c r="E9719" s="2"/>
    </row>
    <row r="9720" spans="2:5" x14ac:dyDescent="0.35">
      <c r="B9720" s="1"/>
    </row>
    <row r="9721" spans="2:5" x14ac:dyDescent="0.35">
      <c r="B9721" s="1"/>
      <c r="E9721" s="2"/>
    </row>
    <row r="9722" spans="2:5" x14ac:dyDescent="0.35">
      <c r="B9722" s="1"/>
    </row>
    <row r="9723" spans="2:5" x14ac:dyDescent="0.35">
      <c r="B9723" s="1"/>
      <c r="E9723" s="2"/>
    </row>
    <row r="9724" spans="2:5" x14ac:dyDescent="0.35">
      <c r="B9724" s="1"/>
      <c r="E9724" s="2"/>
    </row>
    <row r="9725" spans="2:5" x14ac:dyDescent="0.35">
      <c r="B9725" s="1"/>
    </row>
    <row r="9726" spans="2:5" x14ac:dyDescent="0.35">
      <c r="B9726" s="1"/>
    </row>
    <row r="9727" spans="2:5" x14ac:dyDescent="0.35">
      <c r="B9727" s="1"/>
      <c r="E9727" s="2"/>
    </row>
    <row r="9728" spans="2:5" x14ac:dyDescent="0.35">
      <c r="B9728" s="1"/>
      <c r="E9728" s="2"/>
    </row>
    <row r="9729" spans="2:5" x14ac:dyDescent="0.35">
      <c r="B9729" s="1"/>
      <c r="E9729" s="2"/>
    </row>
    <row r="9730" spans="2:5" x14ac:dyDescent="0.35">
      <c r="B9730" s="1"/>
    </row>
    <row r="9731" spans="2:5" x14ac:dyDescent="0.35">
      <c r="B9731" s="1"/>
    </row>
    <row r="9732" spans="2:5" x14ac:dyDescent="0.35">
      <c r="B9732" s="1"/>
      <c r="E9732" s="2"/>
    </row>
    <row r="9733" spans="2:5" x14ac:dyDescent="0.35">
      <c r="B9733" s="1"/>
      <c r="E9733" s="2"/>
    </row>
    <row r="9734" spans="2:5" x14ac:dyDescent="0.35">
      <c r="B9734" s="1"/>
    </row>
    <row r="9735" spans="2:5" x14ac:dyDescent="0.35">
      <c r="B9735" s="1"/>
    </row>
    <row r="9736" spans="2:5" x14ac:dyDescent="0.35">
      <c r="B9736" s="1"/>
    </row>
    <row r="9737" spans="2:5" x14ac:dyDescent="0.35">
      <c r="B9737" s="1"/>
      <c r="E9737" s="2"/>
    </row>
    <row r="9738" spans="2:5" x14ac:dyDescent="0.35">
      <c r="B9738" s="1"/>
      <c r="E9738" s="2"/>
    </row>
    <row r="9739" spans="2:5" x14ac:dyDescent="0.35">
      <c r="B9739" s="1"/>
      <c r="E9739" s="2"/>
    </row>
    <row r="9740" spans="2:5" x14ac:dyDescent="0.35">
      <c r="B9740" s="1"/>
      <c r="E9740" s="2"/>
    </row>
    <row r="9741" spans="2:5" x14ac:dyDescent="0.35">
      <c r="B9741" s="1"/>
    </row>
    <row r="9742" spans="2:5" x14ac:dyDescent="0.35">
      <c r="B9742" s="1"/>
      <c r="E9742" s="2"/>
    </row>
    <row r="9743" spans="2:5" x14ac:dyDescent="0.35">
      <c r="B9743" s="1"/>
    </row>
    <row r="9744" spans="2:5" x14ac:dyDescent="0.35">
      <c r="B9744" s="1"/>
      <c r="E9744" s="2"/>
    </row>
    <row r="9745" spans="2:5" x14ac:dyDescent="0.35">
      <c r="B9745" s="1"/>
    </row>
    <row r="9746" spans="2:5" x14ac:dyDescent="0.35">
      <c r="B9746" s="1"/>
    </row>
    <row r="9747" spans="2:5" x14ac:dyDescent="0.35">
      <c r="B9747" s="1"/>
      <c r="E9747" s="2"/>
    </row>
    <row r="9748" spans="2:5" x14ac:dyDescent="0.35">
      <c r="B9748" s="1"/>
      <c r="E9748" s="2"/>
    </row>
    <row r="9749" spans="2:5" x14ac:dyDescent="0.35">
      <c r="B9749" s="1"/>
    </row>
    <row r="9750" spans="2:5" x14ac:dyDescent="0.35">
      <c r="B9750" s="1"/>
      <c r="E9750" s="2"/>
    </row>
    <row r="9751" spans="2:5" x14ac:dyDescent="0.35">
      <c r="B9751" s="1"/>
      <c r="E9751" s="2"/>
    </row>
    <row r="9752" spans="2:5" x14ac:dyDescent="0.35">
      <c r="B9752" s="1"/>
    </row>
    <row r="9753" spans="2:5" x14ac:dyDescent="0.35">
      <c r="B9753" s="1"/>
      <c r="E9753" s="2"/>
    </row>
    <row r="9754" spans="2:5" x14ac:dyDescent="0.35">
      <c r="B9754" s="1"/>
      <c r="E9754" s="2"/>
    </row>
    <row r="9755" spans="2:5" x14ac:dyDescent="0.35">
      <c r="B9755" s="1"/>
      <c r="E9755" s="2"/>
    </row>
    <row r="9756" spans="2:5" x14ac:dyDescent="0.35">
      <c r="B9756" s="1"/>
    </row>
    <row r="9757" spans="2:5" x14ac:dyDescent="0.35">
      <c r="B9757" s="1"/>
      <c r="E9757" s="2"/>
    </row>
    <row r="9758" spans="2:5" x14ac:dyDescent="0.35">
      <c r="B9758" s="1"/>
      <c r="E9758" s="2"/>
    </row>
    <row r="9759" spans="2:5" x14ac:dyDescent="0.35">
      <c r="B9759" s="1"/>
    </row>
    <row r="9760" spans="2:5" x14ac:dyDescent="0.35">
      <c r="B9760" s="1"/>
      <c r="E9760" s="2"/>
    </row>
    <row r="9761" spans="2:5" x14ac:dyDescent="0.35">
      <c r="B9761" s="1"/>
      <c r="E9761" s="2"/>
    </row>
    <row r="9762" spans="2:5" x14ac:dyDescent="0.35">
      <c r="B9762" s="1"/>
    </row>
    <row r="9763" spans="2:5" x14ac:dyDescent="0.35">
      <c r="B9763" s="1"/>
      <c r="E9763" s="2"/>
    </row>
    <row r="9764" spans="2:5" x14ac:dyDescent="0.35">
      <c r="B9764" s="1"/>
      <c r="E9764" s="2"/>
    </row>
    <row r="9765" spans="2:5" x14ac:dyDescent="0.35">
      <c r="B9765" s="1"/>
      <c r="E9765" s="2"/>
    </row>
    <row r="9766" spans="2:5" x14ac:dyDescent="0.35">
      <c r="B9766" s="1"/>
      <c r="E9766" s="2"/>
    </row>
    <row r="9767" spans="2:5" x14ac:dyDescent="0.35">
      <c r="B9767" s="1"/>
    </row>
    <row r="9768" spans="2:5" x14ac:dyDescent="0.35">
      <c r="B9768" s="1"/>
    </row>
    <row r="9769" spans="2:5" x14ac:dyDescent="0.35">
      <c r="B9769" s="1"/>
      <c r="E9769" s="2"/>
    </row>
    <row r="9770" spans="2:5" x14ac:dyDescent="0.35">
      <c r="B9770" s="1"/>
      <c r="E9770" s="2"/>
    </row>
    <row r="9771" spans="2:5" x14ac:dyDescent="0.35">
      <c r="B9771" s="1"/>
      <c r="E9771" s="2"/>
    </row>
    <row r="9772" spans="2:5" x14ac:dyDescent="0.35">
      <c r="B9772" s="1"/>
      <c r="E9772" s="2"/>
    </row>
    <row r="9773" spans="2:5" x14ac:dyDescent="0.35">
      <c r="B9773" s="1"/>
      <c r="E9773" s="2"/>
    </row>
    <row r="9774" spans="2:5" x14ac:dyDescent="0.35">
      <c r="B9774" s="1"/>
    </row>
    <row r="9775" spans="2:5" x14ac:dyDescent="0.35">
      <c r="B9775" s="1"/>
      <c r="E9775" s="2"/>
    </row>
    <row r="9776" spans="2:5" x14ac:dyDescent="0.35">
      <c r="B9776" s="1"/>
      <c r="E9776" s="2"/>
    </row>
    <row r="9777" spans="2:5" x14ac:dyDescent="0.35">
      <c r="B9777" s="1"/>
    </row>
    <row r="9778" spans="2:5" x14ac:dyDescent="0.35">
      <c r="B9778" s="1"/>
    </row>
    <row r="9779" spans="2:5" x14ac:dyDescent="0.35">
      <c r="B9779" s="1"/>
      <c r="E9779" s="2"/>
    </row>
    <row r="9780" spans="2:5" x14ac:dyDescent="0.35">
      <c r="B9780" s="1"/>
    </row>
    <row r="9781" spans="2:5" x14ac:dyDescent="0.35">
      <c r="B9781" s="1"/>
    </row>
    <row r="9782" spans="2:5" x14ac:dyDescent="0.35">
      <c r="B9782" s="1"/>
    </row>
    <row r="9783" spans="2:5" x14ac:dyDescent="0.35">
      <c r="B9783" s="1"/>
    </row>
    <row r="9784" spans="2:5" x14ac:dyDescent="0.35">
      <c r="B9784" s="1"/>
      <c r="E9784" s="2"/>
    </row>
    <row r="9785" spans="2:5" x14ac:dyDescent="0.35">
      <c r="B9785" s="1"/>
    </row>
    <row r="9786" spans="2:5" x14ac:dyDescent="0.35">
      <c r="B9786" s="1"/>
    </row>
    <row r="9787" spans="2:5" x14ac:dyDescent="0.35">
      <c r="B9787" s="1"/>
    </row>
    <row r="9788" spans="2:5" x14ac:dyDescent="0.35">
      <c r="B9788" s="1"/>
      <c r="E9788" s="2"/>
    </row>
    <row r="9789" spans="2:5" x14ac:dyDescent="0.35">
      <c r="B9789" s="1"/>
      <c r="E9789" s="2"/>
    </row>
    <row r="9790" spans="2:5" x14ac:dyDescent="0.35">
      <c r="B9790" s="1"/>
    </row>
    <row r="9791" spans="2:5" x14ac:dyDescent="0.35">
      <c r="B9791" s="1"/>
    </row>
    <row r="9792" spans="2:5" x14ac:dyDescent="0.35">
      <c r="B9792" s="1"/>
      <c r="E9792" s="2"/>
    </row>
    <row r="9793" spans="2:5" x14ac:dyDescent="0.35">
      <c r="B9793" s="1"/>
    </row>
    <row r="9794" spans="2:5" x14ac:dyDescent="0.35">
      <c r="B9794" s="1"/>
      <c r="E9794" s="2"/>
    </row>
    <row r="9795" spans="2:5" x14ac:dyDescent="0.35">
      <c r="B9795" s="1"/>
    </row>
    <row r="9796" spans="2:5" x14ac:dyDescent="0.35">
      <c r="B9796" s="1"/>
    </row>
    <row r="9797" spans="2:5" x14ac:dyDescent="0.35">
      <c r="B9797" s="1"/>
      <c r="E9797" s="2"/>
    </row>
    <row r="9798" spans="2:5" x14ac:dyDescent="0.35">
      <c r="B9798" s="1"/>
      <c r="E9798" s="2"/>
    </row>
    <row r="9799" spans="2:5" x14ac:dyDescent="0.35">
      <c r="B9799" s="1"/>
    </row>
    <row r="9800" spans="2:5" x14ac:dyDescent="0.35">
      <c r="B9800" s="1"/>
      <c r="E9800" s="2"/>
    </row>
    <row r="9801" spans="2:5" x14ac:dyDescent="0.35">
      <c r="B9801" s="1"/>
      <c r="E9801" s="2"/>
    </row>
    <row r="9802" spans="2:5" x14ac:dyDescent="0.35">
      <c r="B9802" s="1"/>
      <c r="E9802" s="2"/>
    </row>
    <row r="9803" spans="2:5" x14ac:dyDescent="0.35">
      <c r="B9803" s="1"/>
    </row>
    <row r="9804" spans="2:5" x14ac:dyDescent="0.35">
      <c r="B9804" s="1"/>
    </row>
    <row r="9805" spans="2:5" x14ac:dyDescent="0.35">
      <c r="B9805" s="1"/>
      <c r="E9805" s="2"/>
    </row>
    <row r="9806" spans="2:5" x14ac:dyDescent="0.35">
      <c r="B9806" s="1"/>
    </row>
    <row r="9807" spans="2:5" x14ac:dyDescent="0.35">
      <c r="B9807" s="1"/>
    </row>
    <row r="9808" spans="2:5" x14ac:dyDescent="0.35">
      <c r="B9808" s="1"/>
      <c r="E9808" s="2"/>
    </row>
    <row r="9809" spans="2:5" x14ac:dyDescent="0.35">
      <c r="B9809" s="1"/>
      <c r="E9809" s="2"/>
    </row>
    <row r="9810" spans="2:5" x14ac:dyDescent="0.35">
      <c r="B9810" s="1"/>
    </row>
    <row r="9811" spans="2:5" x14ac:dyDescent="0.35">
      <c r="B9811" s="1"/>
      <c r="E9811" s="2"/>
    </row>
    <row r="9812" spans="2:5" x14ac:dyDescent="0.35">
      <c r="B9812" s="1"/>
    </row>
    <row r="9813" spans="2:5" x14ac:dyDescent="0.35">
      <c r="B9813" s="1"/>
    </row>
    <row r="9814" spans="2:5" x14ac:dyDescent="0.35">
      <c r="B9814" s="1"/>
      <c r="E9814" s="2"/>
    </row>
    <row r="9815" spans="2:5" x14ac:dyDescent="0.35">
      <c r="B9815" s="1"/>
    </row>
    <row r="9816" spans="2:5" x14ac:dyDescent="0.35">
      <c r="B9816" s="1"/>
    </row>
    <row r="9817" spans="2:5" x14ac:dyDescent="0.35">
      <c r="B9817" s="1"/>
      <c r="E9817" s="2"/>
    </row>
    <row r="9818" spans="2:5" x14ac:dyDescent="0.35">
      <c r="B9818" s="1"/>
    </row>
    <row r="9819" spans="2:5" x14ac:dyDescent="0.35">
      <c r="B9819" s="1"/>
      <c r="E9819" s="2"/>
    </row>
    <row r="9820" spans="2:5" x14ac:dyDescent="0.35">
      <c r="B9820" s="1"/>
      <c r="E9820" s="2"/>
    </row>
    <row r="9821" spans="2:5" x14ac:dyDescent="0.35">
      <c r="B9821" s="1"/>
    </row>
    <row r="9822" spans="2:5" x14ac:dyDescent="0.35">
      <c r="B9822" s="1"/>
      <c r="E9822" s="2"/>
    </row>
    <row r="9823" spans="2:5" x14ac:dyDescent="0.35">
      <c r="B9823" s="1"/>
      <c r="E9823" s="2"/>
    </row>
    <row r="9824" spans="2:5" x14ac:dyDescent="0.35">
      <c r="B9824" s="1"/>
      <c r="E9824" s="2"/>
    </row>
    <row r="9825" spans="2:5" x14ac:dyDescent="0.35">
      <c r="B9825" s="1"/>
    </row>
    <row r="9826" spans="2:5" x14ac:dyDescent="0.35">
      <c r="B9826" s="1"/>
      <c r="E9826" s="2"/>
    </row>
    <row r="9827" spans="2:5" x14ac:dyDescent="0.35">
      <c r="B9827" s="1"/>
      <c r="E9827" s="2"/>
    </row>
    <row r="9828" spans="2:5" x14ac:dyDescent="0.35">
      <c r="B9828" s="1"/>
    </row>
    <row r="9829" spans="2:5" x14ac:dyDescent="0.35">
      <c r="B9829" s="1"/>
    </row>
    <row r="9830" spans="2:5" x14ac:dyDescent="0.35">
      <c r="B9830" s="1"/>
    </row>
    <row r="9831" spans="2:5" x14ac:dyDescent="0.35">
      <c r="B9831" s="1"/>
      <c r="E9831" s="2"/>
    </row>
    <row r="9832" spans="2:5" x14ac:dyDescent="0.35">
      <c r="B9832" s="1"/>
    </row>
    <row r="9833" spans="2:5" x14ac:dyDescent="0.35">
      <c r="B9833" s="1"/>
      <c r="E9833" s="2"/>
    </row>
    <row r="9834" spans="2:5" x14ac:dyDescent="0.35">
      <c r="B9834" s="1"/>
    </row>
    <row r="9835" spans="2:5" x14ac:dyDescent="0.35">
      <c r="B9835" s="1"/>
      <c r="E9835" s="2"/>
    </row>
    <row r="9836" spans="2:5" x14ac:dyDescent="0.35">
      <c r="B9836" s="1"/>
    </row>
    <row r="9837" spans="2:5" x14ac:dyDescent="0.35">
      <c r="B9837" s="1"/>
    </row>
    <row r="9838" spans="2:5" x14ac:dyDescent="0.35">
      <c r="B9838" s="1"/>
      <c r="E9838" s="2"/>
    </row>
    <row r="9839" spans="2:5" x14ac:dyDescent="0.35">
      <c r="B9839" s="1"/>
    </row>
    <row r="9840" spans="2:5" x14ac:dyDescent="0.35">
      <c r="B9840" s="1"/>
      <c r="E9840" s="2"/>
    </row>
    <row r="9841" spans="2:5" x14ac:dyDescent="0.35">
      <c r="B9841" s="1"/>
    </row>
    <row r="9842" spans="2:5" x14ac:dyDescent="0.35">
      <c r="B9842" s="1"/>
    </row>
    <row r="9843" spans="2:5" x14ac:dyDescent="0.35">
      <c r="B9843" s="1"/>
      <c r="E9843" s="2"/>
    </row>
    <row r="9844" spans="2:5" x14ac:dyDescent="0.35">
      <c r="B9844" s="1"/>
    </row>
    <row r="9845" spans="2:5" x14ac:dyDescent="0.35">
      <c r="B9845" s="1"/>
      <c r="E9845" s="2"/>
    </row>
    <row r="9846" spans="2:5" x14ac:dyDescent="0.35">
      <c r="B9846" s="1"/>
    </row>
    <row r="9847" spans="2:5" x14ac:dyDescent="0.35">
      <c r="B9847" s="1"/>
    </row>
    <row r="9848" spans="2:5" x14ac:dyDescent="0.35">
      <c r="B9848" s="1"/>
      <c r="E9848" s="2"/>
    </row>
    <row r="9849" spans="2:5" x14ac:dyDescent="0.35">
      <c r="B9849" s="1"/>
    </row>
    <row r="9850" spans="2:5" x14ac:dyDescent="0.35">
      <c r="B9850" s="1"/>
      <c r="E9850" s="2"/>
    </row>
    <row r="9851" spans="2:5" x14ac:dyDescent="0.35">
      <c r="B9851" s="1"/>
    </row>
    <row r="9852" spans="2:5" x14ac:dyDescent="0.35">
      <c r="B9852" s="1"/>
      <c r="E9852" s="2"/>
    </row>
    <row r="9853" spans="2:5" x14ac:dyDescent="0.35">
      <c r="B9853" s="1"/>
      <c r="E9853" s="2"/>
    </row>
    <row r="9854" spans="2:5" x14ac:dyDescent="0.35">
      <c r="B9854" s="1"/>
    </row>
    <row r="9855" spans="2:5" x14ac:dyDescent="0.35">
      <c r="B9855" s="1"/>
      <c r="E9855" s="2"/>
    </row>
    <row r="9856" spans="2:5" x14ac:dyDescent="0.35">
      <c r="B9856" s="1"/>
      <c r="E9856" s="2"/>
    </row>
    <row r="9857" spans="2:5" x14ac:dyDescent="0.35">
      <c r="B9857" s="1"/>
      <c r="E9857" s="2"/>
    </row>
    <row r="9858" spans="2:5" x14ac:dyDescent="0.35">
      <c r="B9858" s="1"/>
      <c r="E9858" s="2"/>
    </row>
    <row r="9859" spans="2:5" x14ac:dyDescent="0.35">
      <c r="B9859" s="1"/>
    </row>
    <row r="9860" spans="2:5" x14ac:dyDescent="0.35">
      <c r="B9860" s="1"/>
    </row>
    <row r="9861" spans="2:5" x14ac:dyDescent="0.35">
      <c r="B9861" s="1"/>
      <c r="E9861" s="2"/>
    </row>
    <row r="9862" spans="2:5" x14ac:dyDescent="0.35">
      <c r="B9862" s="1"/>
      <c r="E9862" s="2"/>
    </row>
    <row r="9863" spans="2:5" x14ac:dyDescent="0.35">
      <c r="B9863" s="1"/>
    </row>
    <row r="9864" spans="2:5" x14ac:dyDescent="0.35">
      <c r="B9864" s="1"/>
      <c r="E9864" s="2"/>
    </row>
    <row r="9865" spans="2:5" x14ac:dyDescent="0.35">
      <c r="B9865" s="1"/>
    </row>
    <row r="9866" spans="2:5" x14ac:dyDescent="0.35">
      <c r="B9866" s="1"/>
      <c r="E9866" s="2"/>
    </row>
    <row r="9867" spans="2:5" x14ac:dyDescent="0.35">
      <c r="B9867" s="1"/>
      <c r="E9867" s="2"/>
    </row>
    <row r="9868" spans="2:5" x14ac:dyDescent="0.35">
      <c r="B9868" s="1"/>
      <c r="E9868" s="2"/>
    </row>
    <row r="9869" spans="2:5" x14ac:dyDescent="0.35">
      <c r="B9869" s="1"/>
    </row>
    <row r="9870" spans="2:5" x14ac:dyDescent="0.35">
      <c r="B9870" s="1"/>
      <c r="E9870" s="2"/>
    </row>
    <row r="9871" spans="2:5" x14ac:dyDescent="0.35">
      <c r="B9871" s="1"/>
    </row>
    <row r="9872" spans="2:5" x14ac:dyDescent="0.35">
      <c r="B9872" s="1"/>
    </row>
    <row r="9873" spans="2:5" x14ac:dyDescent="0.35">
      <c r="B9873" s="1"/>
      <c r="E9873" s="2"/>
    </row>
    <row r="9874" spans="2:5" x14ac:dyDescent="0.35">
      <c r="B9874" s="1"/>
    </row>
    <row r="9875" spans="2:5" x14ac:dyDescent="0.35">
      <c r="B9875" s="1"/>
    </row>
    <row r="9876" spans="2:5" x14ac:dyDescent="0.35">
      <c r="B9876" s="1"/>
      <c r="E9876" s="2"/>
    </row>
    <row r="9877" spans="2:5" x14ac:dyDescent="0.35">
      <c r="B9877" s="1"/>
    </row>
    <row r="9878" spans="2:5" x14ac:dyDescent="0.35">
      <c r="B9878" s="1"/>
    </row>
    <row r="9879" spans="2:5" x14ac:dyDescent="0.35">
      <c r="B9879" s="1"/>
      <c r="E9879" s="2"/>
    </row>
    <row r="9880" spans="2:5" x14ac:dyDescent="0.35">
      <c r="B9880" s="1"/>
      <c r="E9880" s="2"/>
    </row>
    <row r="9881" spans="2:5" x14ac:dyDescent="0.35">
      <c r="B9881" s="1"/>
      <c r="E9881" s="2"/>
    </row>
    <row r="9882" spans="2:5" x14ac:dyDescent="0.35">
      <c r="B9882" s="1"/>
      <c r="E9882" s="2"/>
    </row>
    <row r="9883" spans="2:5" x14ac:dyDescent="0.35">
      <c r="B9883" s="1"/>
      <c r="E9883" s="2"/>
    </row>
    <row r="9884" spans="2:5" x14ac:dyDescent="0.35">
      <c r="B9884" s="1"/>
      <c r="E9884" s="2"/>
    </row>
    <row r="9885" spans="2:5" x14ac:dyDescent="0.35">
      <c r="B9885" s="1"/>
      <c r="E9885" s="2"/>
    </row>
    <row r="9886" spans="2:5" x14ac:dyDescent="0.35">
      <c r="B9886" s="1"/>
    </row>
    <row r="9887" spans="2:5" x14ac:dyDescent="0.35">
      <c r="B9887" s="1"/>
    </row>
    <row r="9888" spans="2:5" x14ac:dyDescent="0.35">
      <c r="B9888" s="1"/>
    </row>
    <row r="9889" spans="2:5" x14ac:dyDescent="0.35">
      <c r="B9889" s="1"/>
      <c r="E9889" s="2"/>
    </row>
    <row r="9890" spans="2:5" x14ac:dyDescent="0.35">
      <c r="B9890" s="1"/>
    </row>
    <row r="9891" spans="2:5" x14ac:dyDescent="0.35">
      <c r="B9891" s="1"/>
      <c r="E9891" s="2"/>
    </row>
    <row r="9892" spans="2:5" x14ac:dyDescent="0.35">
      <c r="B9892" s="1"/>
      <c r="E9892" s="2"/>
    </row>
    <row r="9893" spans="2:5" x14ac:dyDescent="0.35">
      <c r="B9893" s="1"/>
      <c r="E9893" s="2"/>
    </row>
    <row r="9894" spans="2:5" x14ac:dyDescent="0.35">
      <c r="B9894" s="1"/>
    </row>
    <row r="9895" spans="2:5" x14ac:dyDescent="0.35">
      <c r="B9895" s="1"/>
      <c r="E9895" s="2"/>
    </row>
    <row r="9896" spans="2:5" x14ac:dyDescent="0.35">
      <c r="B9896" s="1"/>
    </row>
    <row r="9897" spans="2:5" x14ac:dyDescent="0.35">
      <c r="B9897" s="1"/>
    </row>
    <row r="9898" spans="2:5" x14ac:dyDescent="0.35">
      <c r="B9898" s="1"/>
      <c r="E9898" s="2"/>
    </row>
    <row r="9899" spans="2:5" x14ac:dyDescent="0.35">
      <c r="B9899" s="1"/>
    </row>
    <row r="9900" spans="2:5" x14ac:dyDescent="0.35">
      <c r="B9900" s="1"/>
      <c r="E9900" s="2"/>
    </row>
    <row r="9901" spans="2:5" x14ac:dyDescent="0.35">
      <c r="B9901" s="1"/>
      <c r="E9901" s="2"/>
    </row>
    <row r="9902" spans="2:5" x14ac:dyDescent="0.35">
      <c r="B9902" s="1"/>
      <c r="E9902" s="2"/>
    </row>
    <row r="9903" spans="2:5" x14ac:dyDescent="0.35">
      <c r="B9903" s="1"/>
    </row>
    <row r="9904" spans="2:5" x14ac:dyDescent="0.35">
      <c r="B9904" s="1"/>
    </row>
    <row r="9905" spans="2:5" x14ac:dyDescent="0.35">
      <c r="B9905" s="1"/>
      <c r="E9905" s="2"/>
    </row>
    <row r="9906" spans="2:5" x14ac:dyDescent="0.35">
      <c r="B9906" s="1"/>
      <c r="E9906" s="2"/>
    </row>
    <row r="9907" spans="2:5" x14ac:dyDescent="0.35">
      <c r="B9907" s="1"/>
      <c r="E9907" s="2"/>
    </row>
    <row r="9908" spans="2:5" x14ac:dyDescent="0.35">
      <c r="B9908" s="1"/>
    </row>
    <row r="9909" spans="2:5" x14ac:dyDescent="0.35">
      <c r="B9909" s="1"/>
      <c r="E9909" s="2"/>
    </row>
    <row r="9910" spans="2:5" x14ac:dyDescent="0.35">
      <c r="B9910" s="1"/>
      <c r="E9910" s="2"/>
    </row>
    <row r="9911" spans="2:5" x14ac:dyDescent="0.35">
      <c r="B9911" s="1"/>
      <c r="E9911" s="2"/>
    </row>
    <row r="9912" spans="2:5" x14ac:dyDescent="0.35">
      <c r="B9912" s="1"/>
    </row>
    <row r="9913" spans="2:5" x14ac:dyDescent="0.35">
      <c r="B9913" s="1"/>
      <c r="E9913" s="2"/>
    </row>
    <row r="9914" spans="2:5" x14ac:dyDescent="0.35">
      <c r="B9914" s="1"/>
      <c r="E9914" s="2"/>
    </row>
    <row r="9915" spans="2:5" x14ac:dyDescent="0.35">
      <c r="B9915" s="1"/>
    </row>
    <row r="9916" spans="2:5" x14ac:dyDescent="0.35">
      <c r="B9916" s="1"/>
      <c r="E9916" s="2"/>
    </row>
    <row r="9917" spans="2:5" x14ac:dyDescent="0.35">
      <c r="B9917" s="1"/>
      <c r="E9917" s="2"/>
    </row>
    <row r="9918" spans="2:5" x14ac:dyDescent="0.35">
      <c r="B9918" s="1"/>
      <c r="E9918" s="2"/>
    </row>
    <row r="9919" spans="2:5" x14ac:dyDescent="0.35">
      <c r="B9919" s="1"/>
      <c r="E9919" s="2"/>
    </row>
    <row r="9920" spans="2:5" x14ac:dyDescent="0.35">
      <c r="B9920" s="1"/>
    </row>
    <row r="9921" spans="2:5" x14ac:dyDescent="0.35">
      <c r="B9921" s="1"/>
    </row>
    <row r="9922" spans="2:5" x14ac:dyDescent="0.35">
      <c r="B9922" s="1"/>
    </row>
    <row r="9923" spans="2:5" x14ac:dyDescent="0.35">
      <c r="B9923" s="1"/>
      <c r="E9923" s="2"/>
    </row>
    <row r="9924" spans="2:5" x14ac:dyDescent="0.35">
      <c r="B9924" s="1"/>
      <c r="E9924" s="2"/>
    </row>
    <row r="9925" spans="2:5" x14ac:dyDescent="0.35">
      <c r="B9925" s="1"/>
    </row>
    <row r="9926" spans="2:5" x14ac:dyDescent="0.35">
      <c r="B9926" s="1"/>
    </row>
    <row r="9927" spans="2:5" x14ac:dyDescent="0.35">
      <c r="B9927" s="1"/>
      <c r="E9927" s="2"/>
    </row>
    <row r="9928" spans="2:5" x14ac:dyDescent="0.35">
      <c r="B9928" s="1"/>
    </row>
    <row r="9929" spans="2:5" x14ac:dyDescent="0.35">
      <c r="B9929" s="1"/>
      <c r="E9929" s="2"/>
    </row>
    <row r="9930" spans="2:5" x14ac:dyDescent="0.35">
      <c r="B9930" s="1"/>
      <c r="E9930" s="2"/>
    </row>
    <row r="9931" spans="2:5" x14ac:dyDescent="0.35">
      <c r="B9931" s="1"/>
    </row>
    <row r="9932" spans="2:5" x14ac:dyDescent="0.35">
      <c r="B9932" s="1"/>
    </row>
    <row r="9933" spans="2:5" x14ac:dyDescent="0.35">
      <c r="B9933" s="1"/>
      <c r="E9933" s="2"/>
    </row>
    <row r="9934" spans="2:5" x14ac:dyDescent="0.35">
      <c r="B9934" s="1"/>
      <c r="E9934" s="2"/>
    </row>
    <row r="9935" spans="2:5" x14ac:dyDescent="0.35">
      <c r="B9935" s="1"/>
    </row>
    <row r="9936" spans="2:5" x14ac:dyDescent="0.35">
      <c r="B9936" s="1"/>
      <c r="E9936" s="2"/>
    </row>
    <row r="9937" spans="2:5" x14ac:dyDescent="0.35">
      <c r="B9937" s="1"/>
    </row>
    <row r="9938" spans="2:5" x14ac:dyDescent="0.35">
      <c r="B9938" s="1"/>
    </row>
    <row r="9939" spans="2:5" x14ac:dyDescent="0.35">
      <c r="B9939" s="1"/>
      <c r="E9939" s="2"/>
    </row>
    <row r="9940" spans="2:5" x14ac:dyDescent="0.35">
      <c r="B9940" s="1"/>
      <c r="E9940" s="2"/>
    </row>
    <row r="9941" spans="2:5" x14ac:dyDescent="0.35">
      <c r="B9941" s="1"/>
    </row>
    <row r="9942" spans="2:5" x14ac:dyDescent="0.35">
      <c r="B9942" s="1"/>
      <c r="E9942" s="2"/>
    </row>
    <row r="9943" spans="2:5" x14ac:dyDescent="0.35">
      <c r="B9943" s="1"/>
      <c r="E9943" s="2"/>
    </row>
    <row r="9944" spans="2:5" x14ac:dyDescent="0.35">
      <c r="B9944" s="1"/>
      <c r="E9944" s="2"/>
    </row>
    <row r="9945" spans="2:5" x14ac:dyDescent="0.35">
      <c r="B9945" s="1"/>
    </row>
    <row r="9946" spans="2:5" x14ac:dyDescent="0.35">
      <c r="B9946" s="1"/>
    </row>
    <row r="9947" spans="2:5" x14ac:dyDescent="0.35">
      <c r="B9947" s="1"/>
      <c r="E9947" s="2"/>
    </row>
    <row r="9948" spans="2:5" x14ac:dyDescent="0.35">
      <c r="B9948" s="1"/>
      <c r="E9948" s="2"/>
    </row>
    <row r="9949" spans="2:5" x14ac:dyDescent="0.35">
      <c r="B9949" s="1"/>
    </row>
    <row r="9950" spans="2:5" x14ac:dyDescent="0.35">
      <c r="B9950" s="1"/>
    </row>
    <row r="9951" spans="2:5" x14ac:dyDescent="0.35">
      <c r="B9951" s="1"/>
    </row>
    <row r="9952" spans="2:5" x14ac:dyDescent="0.35">
      <c r="B9952" s="1"/>
      <c r="E9952" s="2"/>
    </row>
    <row r="9953" spans="2:5" x14ac:dyDescent="0.35">
      <c r="B9953" s="1"/>
    </row>
    <row r="9954" spans="2:5" x14ac:dyDescent="0.35">
      <c r="B9954" s="1"/>
      <c r="E9954" s="2"/>
    </row>
    <row r="9955" spans="2:5" x14ac:dyDescent="0.35">
      <c r="B9955" s="1"/>
    </row>
    <row r="9956" spans="2:5" x14ac:dyDescent="0.35">
      <c r="B9956" s="1"/>
      <c r="E9956" s="2"/>
    </row>
    <row r="9957" spans="2:5" x14ac:dyDescent="0.35">
      <c r="B9957" s="1"/>
      <c r="E9957" s="2"/>
    </row>
    <row r="9958" spans="2:5" x14ac:dyDescent="0.35">
      <c r="B9958" s="1"/>
      <c r="E9958" s="2"/>
    </row>
    <row r="9959" spans="2:5" x14ac:dyDescent="0.35">
      <c r="B9959" s="1"/>
    </row>
    <row r="9960" spans="2:5" x14ac:dyDescent="0.35">
      <c r="B9960" s="1"/>
      <c r="E9960" s="2"/>
    </row>
    <row r="9961" spans="2:5" x14ac:dyDescent="0.35">
      <c r="B9961" s="1"/>
      <c r="E9961" s="2"/>
    </row>
    <row r="9962" spans="2:5" x14ac:dyDescent="0.35">
      <c r="B9962" s="1"/>
      <c r="E9962" s="2"/>
    </row>
    <row r="9963" spans="2:5" x14ac:dyDescent="0.35">
      <c r="B9963" s="1"/>
    </row>
    <row r="9964" spans="2:5" x14ac:dyDescent="0.35">
      <c r="B9964" s="1"/>
      <c r="E9964" s="2"/>
    </row>
    <row r="9965" spans="2:5" x14ac:dyDescent="0.35">
      <c r="B9965" s="1"/>
    </row>
    <row r="9966" spans="2:5" x14ac:dyDescent="0.35">
      <c r="B9966" s="1"/>
    </row>
    <row r="9967" spans="2:5" x14ac:dyDescent="0.35">
      <c r="B9967" s="1"/>
      <c r="E9967" s="2"/>
    </row>
    <row r="9968" spans="2:5" x14ac:dyDescent="0.35">
      <c r="B9968" s="1"/>
      <c r="E9968" s="2"/>
    </row>
    <row r="9969" spans="2:5" x14ac:dyDescent="0.35">
      <c r="B9969" s="1"/>
    </row>
    <row r="9970" spans="2:5" x14ac:dyDescent="0.35">
      <c r="B9970" s="1"/>
      <c r="E9970" s="2"/>
    </row>
    <row r="9971" spans="2:5" x14ac:dyDescent="0.35">
      <c r="B9971" s="1"/>
    </row>
    <row r="9972" spans="2:5" x14ac:dyDescent="0.35">
      <c r="B9972" s="1"/>
      <c r="E9972" s="2"/>
    </row>
    <row r="9973" spans="2:5" x14ac:dyDescent="0.35">
      <c r="B9973" s="1"/>
      <c r="E9973" s="2"/>
    </row>
    <row r="9974" spans="2:5" x14ac:dyDescent="0.35">
      <c r="B9974" s="1"/>
      <c r="E9974" s="2"/>
    </row>
    <row r="9975" spans="2:5" x14ac:dyDescent="0.35">
      <c r="B9975" s="1"/>
    </row>
    <row r="9976" spans="2:5" x14ac:dyDescent="0.35">
      <c r="B9976" s="1"/>
      <c r="E9976" s="2"/>
    </row>
    <row r="9977" spans="2:5" x14ac:dyDescent="0.35">
      <c r="B9977" s="1"/>
    </row>
    <row r="9978" spans="2:5" x14ac:dyDescent="0.35">
      <c r="B9978" s="1"/>
    </row>
    <row r="9979" spans="2:5" x14ac:dyDescent="0.35">
      <c r="B9979" s="1"/>
      <c r="E9979" s="2"/>
    </row>
    <row r="9980" spans="2:5" x14ac:dyDescent="0.35">
      <c r="B9980" s="1"/>
    </row>
    <row r="9981" spans="2:5" x14ac:dyDescent="0.35">
      <c r="B9981" s="1"/>
      <c r="E9981" s="2"/>
    </row>
    <row r="9982" spans="2:5" x14ac:dyDescent="0.35">
      <c r="B9982" s="1"/>
      <c r="E9982" s="2"/>
    </row>
    <row r="9983" spans="2:5" x14ac:dyDescent="0.35">
      <c r="B9983" s="1"/>
      <c r="E9983" s="2"/>
    </row>
    <row r="9984" spans="2:5" x14ac:dyDescent="0.35">
      <c r="B9984" s="1"/>
    </row>
    <row r="9985" spans="2:5" x14ac:dyDescent="0.35">
      <c r="B9985" s="1"/>
      <c r="E9985" s="2"/>
    </row>
    <row r="9986" spans="2:5" x14ac:dyDescent="0.35">
      <c r="B9986" s="1"/>
      <c r="E9986" s="2"/>
    </row>
    <row r="9987" spans="2:5" x14ac:dyDescent="0.35">
      <c r="B9987" s="1"/>
    </row>
    <row r="9988" spans="2:5" x14ac:dyDescent="0.35">
      <c r="B9988" s="1"/>
      <c r="E9988" s="2"/>
    </row>
    <row r="9989" spans="2:5" x14ac:dyDescent="0.35">
      <c r="B9989" s="1"/>
    </row>
    <row r="9990" spans="2:5" x14ac:dyDescent="0.35">
      <c r="B9990" s="1"/>
    </row>
    <row r="9991" spans="2:5" x14ac:dyDescent="0.35">
      <c r="B9991" s="1"/>
    </row>
    <row r="9992" spans="2:5" x14ac:dyDescent="0.35">
      <c r="B9992" s="1"/>
    </row>
    <row r="9993" spans="2:5" x14ac:dyDescent="0.35">
      <c r="B9993" s="1"/>
      <c r="E9993" s="2"/>
    </row>
    <row r="9994" spans="2:5" x14ac:dyDescent="0.35">
      <c r="B9994" s="1"/>
    </row>
    <row r="9995" spans="2:5" x14ac:dyDescent="0.35">
      <c r="B9995" s="1"/>
      <c r="E9995" s="2"/>
    </row>
    <row r="9996" spans="2:5" x14ac:dyDescent="0.35">
      <c r="B9996" s="1"/>
      <c r="E9996" s="2"/>
    </row>
    <row r="9997" spans="2:5" x14ac:dyDescent="0.35">
      <c r="B9997" s="1"/>
      <c r="E9997" s="2"/>
    </row>
    <row r="9998" spans="2:5" x14ac:dyDescent="0.35">
      <c r="B9998" s="1"/>
      <c r="E9998" s="2"/>
    </row>
    <row r="9999" spans="2:5" x14ac:dyDescent="0.35">
      <c r="B9999" s="1"/>
      <c r="E9999" s="2"/>
    </row>
    <row r="10000" spans="2:5" x14ac:dyDescent="0.35">
      <c r="B10000" s="1"/>
    </row>
    <row r="10001" spans="2:2" x14ac:dyDescent="0.35">
      <c r="B10001"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yelp_test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Vedant</cp:lastModifiedBy>
  <dcterms:created xsi:type="dcterms:W3CDTF">2025-12-14T14:42:40Z</dcterms:created>
  <dcterms:modified xsi:type="dcterms:W3CDTF">2025-12-14T14:43:20Z</dcterms:modified>
</cp:coreProperties>
</file>